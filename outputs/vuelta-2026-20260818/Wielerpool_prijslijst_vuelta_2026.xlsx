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8247f58cf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ners" sheetId="1" r:id="Rdaffe2d8cb2c4eb3"/>
    <x:sheet xmlns:r="http://schemas.openxmlformats.org/officeDocument/2006/relationships" name="Instellingen" sheetId="2" r:id="R2602df3a4f9e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8102E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33b2ef08347c8" /><Relationship Type="http://schemas.openxmlformats.org/officeDocument/2006/relationships/theme" Target="/xl/theme/theme1.xml" Id="R802ca409be704ae8" /><Relationship Type="http://schemas.openxmlformats.org/officeDocument/2006/relationships/sharedStrings" Target="/xl/sharedStrings.xml" Id="R73a7037c8c8847f5" /><Relationship Type="http://schemas.openxmlformats.org/officeDocument/2006/relationships/worksheet" Target="/xl/worksheets/sheet1.xml" Id="Rdaffe2d8cb2c4eb3" /><Relationship Type="http://schemas.openxmlformats.org/officeDocument/2006/relationships/worksheet" Target="/xl/worksheets/sheet2.xml" Id="R2602df3a4f9e48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9.130001068115234" hidden="0" customWidth="1"/>
    <x:col min="2" max="2" width="25" hidden="0" customWidth="1"/>
    <x:col min="3" max="3" width="7.380000114440918" hidden="0" customWidth="1"/>
    <x:col min="4" max="4" width="12.5" hidden="0" customWidth="1"/>
    <x:col min="5" max="5" width="11.880000114440918" hidden="0" customWidth="1"/>
    <x:col min="6" max="6" width="19.75" hidden="0" customWidth="1"/>
    <x:col min="7" max="7" width="11.5" hidden="0" customWidth="1"/>
    <x:col min="8" max="8" width="4.25" hidden="0" customWidth="1"/>
    <x:col min="9" max="9" width="7" hidden="0" customWidth="1"/>
    <x:col min="10" max="10" width="11.5" hidden="0" customWidth="1"/>
    <x:col min="11" max="11" width="12.130000114440918" hidden="0" customWidth="1"/>
    <x:col min="12" max="12" width="8.75" hidden="0" customWidth="1"/>
    <x:col min="13" max="13" width="17" hidden="0" customWidth="1"/>
    <x:col min="14" max="14" width="15.130000114440918" hidden="0" customWidth="1"/>
    <x:col min="15" max="15" width="9.880000114440918" hidden="0" customWidth="1"/>
    <x:col min="16" max="16" width="11.75" hidden="0" customWidth="1"/>
    <x:col min="17" max="17" width="53.5" hidden="0" customWidth="1"/>
  </x:cols>
  <x:sheetData>
    <x:row r="1">
      <x:c r="A1" s="5" t="str">
        <x:v>Wielerpool - PCS-prijsmodel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t="str">
        <x:v>Bijgewerkt op 18-08-2026 met de actuele Vuelta-startlijst en PCS-profielscores.</x:v>
      </x:c>
    </x:row>
    <x:row r="5">
      <x:c r="A5" s="4" t="str">
        <x:v>Renner</x:v>
      </x:c>
      <x:c r="B5" s="4" t="str">
        <x:v>Ploeg</x:v>
      </x:c>
      <x:c r="C5" s="4" t="str">
        <x:v>Jongere?</x:v>
      </x:c>
      <x:c r="D5" s="4" t="str">
        <x:v>Verwachte rol</x:v>
      </x:c>
      <x:c r="E5" s="4" t="str">
        <x:v>Algemeen (GC)</x:v>
      </x:c>
      <x:c r="F5" s="4" t="str">
        <x:v>Punten (Sprint + Oneday)</x:v>
      </x:c>
      <x:c r="G5" s="4" t="str">
        <x:v>Berg (Climber)</x:v>
      </x:c>
      <x:c r="H5" s="4" t="str">
        <x:v>TT</x:v>
      </x:c>
      <x:c r="I5" s="4" t="str">
        <x:v>Rolscore</x:v>
      </x:c>
      <x:c r="J5" s="4" t="str">
        <x:v>Jongerenscore</x:v>
      </x:c>
      <x:c r="K5" s="4" t="str">
        <x:v>Gewogen score</x:v>
      </x:c>
      <x:c r="L5" s="4" t="str">
        <x:v>Modelprijs</x:v>
      </x:c>
      <x:c r="M5" s="4" t="str">
        <x:v>Handmatige correctie</x:v>
      </x:c>
      <x:c r="N5" s="4" t="str">
        <x:v>Definitieve BC-prijs</x:v>
      </x:c>
      <x:c r="O5" s="4" t="str">
        <x:v>Prijsklasse</x:v>
      </x:c>
      <x:c r="P5" s="4" t="str">
        <x:v>Invoercontrole</x:v>
      </x:c>
      <x:c r="Q5" s="4" t="str">
        <x:v>PCS-profiel</x:v>
      </x:c>
    </x:row>
    <x:row r="6">
      <x:c r="A6" t="str">
        <x:v>HOULE Hugo</x:v>
      </x:c>
      <x:c r="B6" t="str">
        <x:v>Alpecin - Premier Tech</x:v>
      </x:c>
      <x:c r="C6" t="str">
        <x:v>Nee</x:v>
      </x:c>
      <x:c r="D6" t="str">
        <x:v>Meesterknecht</x:v>
      </x:c>
      <x:c r="E6" t="n">
        <x:v>1019</x:v>
      </x:c>
      <x:c r="F6" t="n">
        <x:v>955</x:v>
      </x:c>
      <x:c r="G6" t="n">
        <x:v>514</x:v>
      </x:c>
      <x:c r="H6" t="n">
        <x:v>701</x:v>
      </x:c>
      <x:c r="I6" t="n">
        <x:f>IF(D6="","",IFERROR(VLOOKUP(D6,'Instellingen'!$D$5:$E$13,2,FALSE),""))</x:f>
        <x:v>55</x:v>
      </x:c>
      <x:c r="J6" t="n">
        <x:f>IF(C6="","",IF(C6="Ja",100,0))</x:f>
        <x:v>0</x:v>
      </x:c>
      <x:c r="K6" t="n">
        <x:f>IF(D6="","",SUM(I6*'Instellingen'!$B$5,J6*'Instellingen'!$B$6,IFERROR(E6/MAX($E$6:$E$167)*100,0)*'Instellingen'!$B$7,IFERROR(F6/MAX($F$6:$F$167)*100,0)*'Instellingen'!$B$8,IFERROR(G6/MAX($G$6:$G$167)*100,0)*'Instellingen'!$B$9,IFERROR(H6/MAX($H$6:$H$167)*100,0)*'Instellingen'!$B$10)/SUM('Instellingen'!$B$5:$B$10))</x:f>
        <x:v>15.336859912616248</x:v>
      </x:c>
      <x:c r="L6" t="n">
        <x:f>IF(K6="","",ROUND(('Instellingen'!$B$16+('Instellingen'!$B$17-'Instellingen'!$B$16)*POWER(K6/100,'Instellingen'!$B$18))/'Instellingen'!$B$19,0)*'Instellingen'!$B$19)</x:f>
        <x:v>475</x:v>
      </x:c>
      <x:c r="M6"/>
      <x:c r="N6" t="n">
        <x:f>IF(L6="","",MAX('Instellingen'!$B$16,MIN('Instellingen'!$B$17,L6+IF(M6="",0,M6))))</x:f>
        <x:v>475</x:v>
      </x:c>
      <x:c r="O6" t="str">
        <x:f>IF(N6="","",IF(N6&gt;='Instellingen'!$B$22,"Absolute top",IF(N6&gt;='Instellingen'!$B$23,"Kopman",IF(N6&gt;='Instellingen'!$B$24,"Sterke keuze",IF(N6&gt;='Instellingen'!$B$25,"Bruikbaar","Gok")))))</x:f>
        <x:v>Gok</x:v>
      </x:c>
      <x:c r="P6" t="str">
        <x:f>IF(A6="","",IF(D6="","Rol invullen","Compleet"))</x:f>
        <x:v>Compleet</x:v>
      </x:c>
      <x:c r="Q6" t="str">
        <x:v>https://www.procyclingstats.com/rider/hugo-houle</x:v>
      </x:c>
    </x:row>
    <x:row r="7">
      <x:c r="A7" t="str">
        <x:v>GLIVAR Gal</x:v>
      </x:c>
      <x:c r="B7" t="str">
        <x:v>Alpecin - Premier Tech</x:v>
      </x:c>
      <x:c r="C7" t="str">
        <x:v>Ja</x:v>
      </x:c>
      <x:c r="D7" t="str">
        <x:v>Knecht</x:v>
      </x:c>
      <x:c r="E7" t="n">
        <x:v>176</x:v>
      </x:c>
      <x:c r="F7" t="n">
        <x:v>199</x:v>
      </x:c>
      <x:c r="G7" t="n">
        <x:v>130</x:v>
      </x:c>
      <x:c r="H7" t="n">
        <x:v>62</x:v>
      </x:c>
      <x:c r="I7" t="n">
        <x:f>IF(D7="","",IFERROR(VLOOKUP(D7,'Instellingen'!$D$5:$E$13,2,FALSE),""))</x:f>
        <x:v>30</x:v>
      </x:c>
      <x:c r="J7" t="n">
        <x:f>IF(C7="","",IF(C7="Ja",100,0))</x:f>
        <x:v>100</x:v>
      </x:c>
      <x:c r="K7" t="n">
        <x:f>IF(D7="","",SUM(I7*'Instellingen'!$B$5,J7*'Instellingen'!$B$6,IFERROR(E7/MAX($E$6:$E$167)*100,0)*'Instellingen'!$B$7,IFERROR(F7/MAX($F$6:$F$167)*100,0)*'Instellingen'!$B$8,IFERROR(G7/MAX($G$6:$G$167)*100,0)*'Instellingen'!$B$9,IFERROR(H7/MAX($H$6:$H$167)*100,0)*'Instellingen'!$B$10)/SUM('Instellingen'!$B$5:$B$10))</x:f>
        <x:v>15.794350075968744</x:v>
      </x:c>
      <x:c r="L7" t="n">
        <x:f>IF(K7="","",ROUND(('Instellingen'!$B$16+('Instellingen'!$B$17-'Instellingen'!$B$16)*POWER(K7/100,'Instellingen'!$B$18))/'Instellingen'!$B$19,0)*'Instellingen'!$B$19)</x:f>
        <x:v>482</x:v>
      </x:c>
      <x:c r="M7"/>
      <x:c r="N7" t="n">
        <x:f>IF(L7="","",MAX('Instellingen'!$B$16,MIN('Instellingen'!$B$17,L7+IF(M7="",0,M7))))</x:f>
        <x:v>482</x:v>
      </x:c>
      <x:c r="O7" t="str">
        <x:f>IF(N7="","",IF(N7&gt;='Instellingen'!$B$22,"Absolute top",IF(N7&gt;='Instellingen'!$B$23,"Kopman",IF(N7&gt;='Instellingen'!$B$24,"Sterke keuze",IF(N7&gt;='Instellingen'!$B$25,"Bruikbaar","Gok")))))</x:f>
        <x:v>Gok</x:v>
      </x:c>
      <x:c r="P7" t="str">
        <x:f>IF(A7="","",IF(D7="","Rol invullen","Compleet"))</x:f>
        <x:v>Compleet</x:v>
      </x:c>
      <x:c r="Q7" t="str">
        <x:v>https://www.procyclingstats.com/rider/gal-glivar</x:v>
      </x:c>
    </x:row>
    <x:row r="8">
      <x:c r="A8" t="str">
        <x:v>MIQUEL Pau</x:v>
      </x:c>
      <x:c r="B8" t="str">
        <x:v>Bahrain - Victorious</x:v>
      </x:c>
      <x:c r="C8" t="str">
        <x:v>Nee</x:v>
      </x:c>
      <x:c r="D8" t="str">
        <x:v>Meesterknecht</x:v>
      </x:c>
      <x:c r="E8" t="n">
        <x:v>65</x:v>
      </x:c>
      <x:c r="F8" t="n">
        <x:v>793</x:v>
      </x:c>
      <x:c r="G8" t="n">
        <x:v>158</x:v>
      </x:c>
      <x:c r="H8" t="n">
        <x:v>2</x:v>
      </x:c>
      <x:c r="I8" t="n">
        <x:f>IF(D8="","",IFERROR(VLOOKUP(D8,'Instellingen'!$D$5:$E$13,2,FALSE),""))</x:f>
        <x:v>55</x:v>
      </x:c>
      <x:c r="J8" t="n">
        <x:f>IF(C8="","",IF(C8="Ja",100,0))</x:f>
        <x:v>0</x:v>
      </x:c>
      <x:c r="K8" t="n">
        <x:f>IF(D8="","",SUM(I8*'Instellingen'!$B$5,J8*'Instellingen'!$B$6,IFERROR(E8/MAX($E$6:$E$167)*100,0)*'Instellingen'!$B$7,IFERROR(F8/MAX($F$6:$F$167)*100,0)*'Instellingen'!$B$8,IFERROR(G8/MAX($G$6:$G$167)*100,0)*'Instellingen'!$B$9,IFERROR(H8/MAX($H$6:$H$167)*100,0)*'Instellingen'!$B$10)/SUM('Instellingen'!$B$5:$B$10))</x:f>
        <x:v>10.128734295189068</x:v>
      </x:c>
      <x:c r="L8" t="n">
        <x:f>IF(K8="","",ROUND(('Instellingen'!$B$16+('Instellingen'!$B$17-'Instellingen'!$B$16)*POWER(K8/100,'Instellingen'!$B$18))/'Instellingen'!$B$19,0)*'Instellingen'!$B$19)</x:f>
        <x:v>400</x:v>
      </x:c>
      <x:c r="M8"/>
      <x:c r="N8" t="n">
        <x:f>IF(L8="","",MAX('Instellingen'!$B$16,MIN('Instellingen'!$B$17,L8+IF(M8="",0,M8))))</x:f>
        <x:v>400</x:v>
      </x:c>
      <x:c r="O8" t="str">
        <x:f>IF(N8="","",IF(N8&gt;='Instellingen'!$B$22,"Absolute top",IF(N8&gt;='Instellingen'!$B$23,"Kopman",IF(N8&gt;='Instellingen'!$B$24,"Sterke keuze",IF(N8&gt;='Instellingen'!$B$25,"Bruikbaar","Gok")))))</x:f>
        <x:v>Gok</x:v>
      </x:c>
      <x:c r="P8" t="str">
        <x:f>IF(A8="","",IF(D8="","Rol invullen","Compleet"))</x:f>
        <x:v>Compleet</x:v>
      </x:c>
      <x:c r="Q8" t="str">
        <x:v>https://www.procyclingstats.com/rider/pau-miquel-delgado</x:v>
      </x:c>
    </x:row>
    <x:row r="9">
      <x:c r="A9" t="str">
        <x:v>ERMAKOV Roman</x:v>
      </x:c>
      <x:c r="B9" t="str">
        <x:v>Bahrain - Victorious</x:v>
      </x:c>
      <x:c r="C9" t="str">
        <x:v>Ja</x:v>
      </x:c>
      <x:c r="D9" t="str">
        <x:v>Onzeker</x:v>
      </x:c>
      <x:c r="E9" t="n">
        <x:v>40</x:v>
      </x:c>
      <x:c r="F9" t="n">
        <x:v>94</x:v>
      </x:c>
      <x:c r="G9" t="n">
        <x:v>8</x:v>
      </x:c>
      <x:c r="H9" t="n">
        <x:v>30</x:v>
      </x:c>
      <x:c r="I9" t="n">
        <x:f>IF(D9="","",IFERROR(VLOOKUP(D9,'Instellingen'!$D$5:$E$13,2,FALSE),""))</x:f>
        <x:v>20</x:v>
      </x:c>
      <x:c r="J9" t="n">
        <x:f>IF(C9="","",IF(C9="Ja",100,0))</x:f>
        <x:v>100</x:v>
      </x:c>
      <x:c r="K9" t="n">
        <x:f>IF(D9="","",SUM(I9*'Instellingen'!$B$5,J9*'Instellingen'!$B$6,IFERROR(E9/MAX($E$6:$E$167)*100,0)*'Instellingen'!$B$7,IFERROR(F9/MAX($F$6:$F$167)*100,0)*'Instellingen'!$B$8,IFERROR(G9/MAX($G$6:$G$167)*100,0)*'Instellingen'!$B$9,IFERROR(H9/MAX($H$6:$H$167)*100,0)*'Instellingen'!$B$10)/SUM('Instellingen'!$B$5:$B$10))</x:f>
        <x:v>13.362751490478452</x:v>
      </x:c>
      <x:c r="L9" t="n">
        <x:f>IF(K9="","",ROUND(('Instellingen'!$B$16+('Instellingen'!$B$17-'Instellingen'!$B$16)*POWER(K9/100,'Instellingen'!$B$18))/'Instellingen'!$B$19,0)*'Instellingen'!$B$19)</x:f>
        <x:v>445</x:v>
      </x:c>
      <x:c r="M9"/>
      <x:c r="N9" t="n">
        <x:f>IF(L9="","",MAX('Instellingen'!$B$16,MIN('Instellingen'!$B$17,L9+IF(M9="",0,M9))))</x:f>
        <x:v>445</x:v>
      </x:c>
      <x:c r="O9" t="str">
        <x:f>IF(N9="","",IF(N9&gt;='Instellingen'!$B$22,"Absolute top",IF(N9&gt;='Instellingen'!$B$23,"Kopman",IF(N9&gt;='Instellingen'!$B$24,"Sterke keuze",IF(N9&gt;='Instellingen'!$B$25,"Bruikbaar","Gok")))))</x:f>
        <x:v>Gok</x:v>
      </x:c>
      <x:c r="P9" t="str">
        <x:f>IF(A9="","",IF(D9="","Rol invullen","Compleet"))</x:f>
        <x:v>Compleet</x:v>
      </x:c>
      <x:c r="Q9" t="str">
        <x:v>https://www.procyclingstats.com/rider/roman-ermakov</x:v>
      </x:c>
    </x:row>
    <x:row r="10">
      <x:c r="A10" t="str">
        <x:v>BUITRAGO Santiago</x:v>
      </x:c>
      <x:c r="B10" t="str">
        <x:v>Bahrain - Victorious</x:v>
      </x:c>
      <x:c r="C10" t="str">
        <x:v>Nee</x:v>
      </x:c>
      <x:c r="D10" t="str">
        <x:v>Vrijbuiter</x:v>
      </x:c>
      <x:c r="E10" t="n">
        <x:v>1949</x:v>
      </x:c>
      <x:c r="F10" t="n">
        <x:v>721</x:v>
      </x:c>
      <x:c r="G10" t="n">
        <x:v>2161</x:v>
      </x:c>
      <x:c r="H10" t="n">
        <x:v>226</x:v>
      </x:c>
      <x:c r="I10" t="n">
        <x:f>IF(D10="","",IFERROR(VLOOKUP(D10,'Instellingen'!$D$5:$E$13,2,FALSE),""))</x:f>
        <x:v>65</x:v>
      </x:c>
      <x:c r="J10" t="n">
        <x:f>IF(C10="","",IF(C10="Ja",100,0))</x:f>
        <x:v>0</x:v>
      </x:c>
      <x:c r="K10" t="n">
        <x:f>IF(D10="","",SUM(I10*'Instellingen'!$B$5,J10*'Instellingen'!$B$6,IFERROR(E10/MAX($E$6:$E$167)*100,0)*'Instellingen'!$B$7,IFERROR(F10/MAX($F$6:$F$167)*100,0)*'Instellingen'!$B$8,IFERROR(G10/MAX($G$6:$G$167)*100,0)*'Instellingen'!$B$9,IFERROR(H10/MAX($H$6:$H$167)*100,0)*'Instellingen'!$B$10)/SUM('Instellingen'!$B$5:$B$10))</x:f>
        <x:v>22.108237847908427</x:v>
      </x:c>
      <x:c r="L10" t="n">
        <x:f>IF(K10="","",ROUND(('Instellingen'!$B$16+('Instellingen'!$B$17-'Instellingen'!$B$16)*POWER(K10/100,'Instellingen'!$B$18))/'Instellingen'!$B$19,0)*'Instellingen'!$B$19)</x:f>
        <x:v>587</x:v>
      </x:c>
      <x:c r="M10"/>
      <x:c r="N10" t="n">
        <x:f>IF(L10="","",MAX('Instellingen'!$B$16,MIN('Instellingen'!$B$17,L10+IF(M10="",0,M10))))</x:f>
        <x:v>587</x:v>
      </x:c>
      <x:c r="O10" t="str">
        <x:f>IF(N10="","",IF(N10&gt;='Instellingen'!$B$22,"Absolute top",IF(N10&gt;='Instellingen'!$B$23,"Kopman",IF(N10&gt;='Instellingen'!$B$24,"Sterke keuze",IF(N10&gt;='Instellingen'!$B$25,"Bruikbaar","Gok")))))</x:f>
        <x:v>Gok</x:v>
      </x:c>
      <x:c r="P10" t="str">
        <x:f>IF(A10="","",IF(D10="","Rol invullen","Compleet"))</x:f>
        <x:v>Compleet</x:v>
      </x:c>
      <x:c r="Q10" t="str">
        <x:v>https://www.procyclingstats.com/rider/santiago-buitrago-sanchez</x:v>
      </x:c>
    </x:row>
    <x:row r="11">
      <x:c r="A11" t="str">
        <x:v>RICCITELLO Matthew</x:v>
      </x:c>
      <x:c r="B11" t="str">
        <x:v>Decathlon CMA CGM Team</x:v>
      </x:c>
      <x:c r="C11" t="str">
        <x:v>Ja</x:v>
      </x:c>
      <x:c r="D11" t="str">
        <x:v>Meesterknecht</x:v>
      </x:c>
      <x:c r="E11" t="n">
        <x:v>1325</x:v>
      </x:c>
      <x:c r="F11" t="n">
        <x:v>171</x:v>
      </x:c>
      <x:c r="G11" t="n">
        <x:v>1346</x:v>
      </x:c>
      <x:c r="H11" t="n">
        <x:v>170</x:v>
      </x:c>
      <x:c r="I11" t="n">
        <x:f>IF(D11="","",IFERROR(VLOOKUP(D11,'Instellingen'!$D$5:$E$13,2,FALSE),""))</x:f>
        <x:v>55</x:v>
      </x:c>
      <x:c r="J11" t="n">
        <x:f>IF(C11="","",IF(C11="Ja",100,0))</x:f>
        <x:v>100</x:v>
      </x:c>
      <x:c r="K11" t="n">
        <x:f>IF(D11="","",SUM(I11*'Instellingen'!$B$5,J11*'Instellingen'!$B$6,IFERROR(E11/MAX($E$6:$E$167)*100,0)*'Instellingen'!$B$7,IFERROR(F11/MAX($F$6:$F$167)*100,0)*'Instellingen'!$B$8,IFERROR(G11/MAX($G$6:$G$167)*100,0)*'Instellingen'!$B$9,IFERROR(H11/MAX($H$6:$H$167)*100,0)*'Instellingen'!$B$10)/SUM('Instellingen'!$B$5:$B$10))</x:f>
        <x:v>25.93334061843324</x:v>
      </x:c>
      <x:c r="L11" t="n">
        <x:f>IF(K11="","",ROUND(('Instellingen'!$B$16+('Instellingen'!$B$17-'Instellingen'!$B$16)*POWER(K11/100,'Instellingen'!$B$18))/'Instellingen'!$B$19,0)*'Instellingen'!$B$19)</x:f>
        <x:v>656</x:v>
      </x:c>
      <x:c r="M11"/>
      <x:c r="N11" t="n">
        <x:f>IF(L11="","",MAX('Instellingen'!$B$16,MIN('Instellingen'!$B$17,L11+IF(M11="",0,M11))))</x:f>
        <x:v>656</x:v>
      </x:c>
      <x:c r="O11" t="str">
        <x:f>IF(N11="","",IF(N11&gt;='Instellingen'!$B$22,"Absolute top",IF(N11&gt;='Instellingen'!$B$23,"Kopman",IF(N11&gt;='Instellingen'!$B$24,"Sterke keuze",IF(N11&gt;='Instellingen'!$B$25,"Bruikbaar","Gok")))))</x:f>
        <x:v>Gok</x:v>
      </x:c>
      <x:c r="P11" t="str">
        <x:f>IF(A11="","",IF(D11="","Rol invullen","Compleet"))</x:f>
        <x:v>Compleet</x:v>
      </x:c>
      <x:c r="Q11" t="str">
        <x:v>https://www.procyclingstats.com/rider/matthew-riccitello</x:v>
      </x:c>
    </x:row>
    <x:row r="12">
      <x:c r="A12" t="str">
        <x:v>GALL Felix</x:v>
      </x:c>
      <x:c r="B12" t="str">
        <x:v>Decathlon CMA CGM Team</x:v>
      </x:c>
      <x:c r="C12" t="str">
        <x:v>Nee</x:v>
      </x:c>
      <x:c r="D12" t="str">
        <x:v>Kopman AK</x:v>
      </x:c>
      <x:c r="E12" t="n">
        <x:v>2455</x:v>
      </x:c>
      <x:c r="F12" t="n">
        <x:v>343</x:v>
      </x:c>
      <x:c r="G12" t="n">
        <x:v>3444</x:v>
      </x:c>
      <x:c r="H12" t="n">
        <x:v>259</x:v>
      </x:c>
      <x:c r="I12" t="n">
        <x:f>IF(D12="","",IFERROR(VLOOKUP(D12,'Instellingen'!$D$5:$E$13,2,FALSE),""))</x:f>
        <x:v>100</x:v>
      </x:c>
      <x:c r="J12" t="n">
        <x:f>IF(C12="","",IF(C12="Ja",100,0))</x:f>
        <x:v>0</x:v>
      </x:c>
      <x:c r="K12" t="n">
        <x:f>IF(D12="","",SUM(I12*'Instellingen'!$B$5,J12*'Instellingen'!$B$6,IFERROR(E12/MAX($E$6:$E$167)*100,0)*'Instellingen'!$B$7,IFERROR(F12/MAX($F$6:$F$167)*100,0)*'Instellingen'!$B$8,IFERROR(G12/MAX($G$6:$G$167)*100,0)*'Instellingen'!$B$9,IFERROR(H12/MAX($H$6:$H$167)*100,0)*'Instellingen'!$B$10)/SUM('Instellingen'!$B$5:$B$10))</x:f>
        <x:v>30.547605775828025</x:v>
      </x:c>
      <x:c r="L12" t="n">
        <x:f>IF(K12="","",ROUND(('Instellingen'!$B$16+('Instellingen'!$B$17-'Instellingen'!$B$16)*POWER(K12/100,'Instellingen'!$B$18))/'Instellingen'!$B$19,0)*'Instellingen'!$B$19)</x:f>
        <x:v>744</x:v>
      </x:c>
      <x:c r="M12"/>
      <x:c r="N12" t="n">
        <x:f>IF(L12="","",MAX('Instellingen'!$B$16,MIN('Instellingen'!$B$17,L12+IF(M12="",0,M12))))</x:f>
        <x:v>744</x:v>
      </x:c>
      <x:c r="O12" t="str">
        <x:f>IF(N12="","",IF(N12&gt;='Instellingen'!$B$22,"Absolute top",IF(N12&gt;='Instellingen'!$B$23,"Kopman",IF(N12&gt;='Instellingen'!$B$24,"Sterke keuze",IF(N12&gt;='Instellingen'!$B$25,"Bruikbaar","Gok")))))</x:f>
        <x:v>Bruikbaar</x:v>
      </x:c>
      <x:c r="P12" t="str">
        <x:f>IF(A12="","",IF(D12="","Rol invullen","Compleet"))</x:f>
        <x:v>Compleet</x:v>
      </x:c>
      <x:c r="Q12" t="str">
        <x:v>https://www.procyclingstats.com/rider/felix-gall</x:v>
      </x:c>
    </x:row>
    <x:row r="13">
      <x:c r="A13" t="str">
        <x:v>BISIAUX Léo</x:v>
      </x:c>
      <x:c r="B13" t="str">
        <x:v>Decathlon CMA CGM Team</x:v>
      </x:c>
      <x:c r="C13" t="str">
        <x:v>Ja</x:v>
      </x:c>
      <x:c r="D13" t="str">
        <x:v>Knecht</x:v>
      </x:c>
      <x:c r="E13" t="n">
        <x:v>234</x:v>
      </x:c>
      <x:c r="F13" t="n">
        <x:v>314</x:v>
      </x:c>
      <x:c r="G13" t="n">
        <x:v>351</x:v>
      </x:c>
      <x:c r="H13" t="n">
        <x:v>23</x:v>
      </x:c>
      <x:c r="I13" t="n">
        <x:f>IF(D13="","",IFERROR(VLOOKUP(D13,'Instellingen'!$D$5:$E$13,2,FALSE),""))</x:f>
        <x:v>30</x:v>
      </x:c>
      <x:c r="J13" t="n">
        <x:f>IF(C13="","",IF(C13="Ja",100,0))</x:f>
        <x:v>100</x:v>
      </x:c>
      <x:c r="K13" t="n">
        <x:f>IF(D13="","",SUM(I13*'Instellingen'!$B$5,J13*'Instellingen'!$B$6,IFERROR(E13/MAX($E$6:$E$167)*100,0)*'Instellingen'!$B$7,IFERROR(F13/MAX($F$6:$F$167)*100,0)*'Instellingen'!$B$8,IFERROR(G13/MAX($G$6:$G$167)*100,0)*'Instellingen'!$B$9,IFERROR(H13/MAX($H$6:$H$167)*100,0)*'Instellingen'!$B$10)/SUM('Instellingen'!$B$5:$B$10))</x:f>
        <x:v>16.506720446463028</x:v>
      </x:c>
      <x:c r="L13" t="n">
        <x:f>IF(K13="","",ROUND(('Instellingen'!$B$16+('Instellingen'!$B$17-'Instellingen'!$B$16)*POWER(K13/100,'Instellingen'!$B$18))/'Instellingen'!$B$19,0)*'Instellingen'!$B$19)</x:f>
        <x:v>493</x:v>
      </x:c>
      <x:c r="M13"/>
      <x:c r="N13" t="n">
        <x:f>IF(L13="","",MAX('Instellingen'!$B$16,MIN('Instellingen'!$B$17,L13+IF(M13="",0,M13))))</x:f>
        <x:v>493</x:v>
      </x:c>
      <x:c r="O13" t="str">
        <x:f>IF(N13="","",IF(N13&gt;='Instellingen'!$B$22,"Absolute top",IF(N13&gt;='Instellingen'!$B$23,"Kopman",IF(N13&gt;='Instellingen'!$B$24,"Sterke keuze",IF(N13&gt;='Instellingen'!$B$25,"Bruikbaar","Gok")))))</x:f>
        <x:v>Gok</x:v>
      </x:c>
      <x:c r="P13" t="str">
        <x:f>IF(A13="","",IF(D13="","Rol invullen","Compleet"))</x:f>
        <x:v>Compleet</x:v>
      </x:c>
      <x:c r="Q13" t="str">
        <x:v>https://www.procyclingstats.com/rider/leo-bisiaux</x:v>
      </x:c>
    </x:row>
    <x:row r="14">
      <x:c r="A14" t="str">
        <x:v>CARAPAZ Richard</x:v>
      </x:c>
      <x:c r="B14" t="str">
        <x:v>EF Education - EasyPost</x:v>
      </x:c>
      <x:c r="C14" t="str">
        <x:v>Nee</x:v>
      </x:c>
      <x:c r="D14" t="str">
        <x:v>Kopman AK</x:v>
      </x:c>
      <x:c r="E14" t="n">
        <x:v>4658</x:v>
      </x:c>
      <x:c r="F14" t="n">
        <x:v>1724</x:v>
      </x:c>
      <x:c r="G14" t="n">
        <x:v>5654</x:v>
      </x:c>
      <x:c r="H14" t="n">
        <x:v>585</x:v>
      </x:c>
      <x:c r="I14" t="n">
        <x:f>IF(D14="","",IFERROR(VLOOKUP(D14,'Instellingen'!$D$5:$E$13,2,FALSE),""))</x:f>
        <x:v>100</x:v>
      </x:c>
      <x:c r="J14" t="n">
        <x:f>IF(C14="","",IF(C14="Ja",100,0))</x:f>
        <x:v>0</x:v>
      </x:c>
      <x:c r="K14" t="n">
        <x:f>IF(D14="","",SUM(I14*'Instellingen'!$B$5,J14*'Instellingen'!$B$6,IFERROR(E14/MAX($E$6:$E$167)*100,0)*'Instellingen'!$B$7,IFERROR(F14/MAX($F$6:$F$167)*100,0)*'Instellingen'!$B$8,IFERROR(G14/MAX($G$6:$G$167)*100,0)*'Instellingen'!$B$9,IFERROR(H14/MAX($H$6:$H$167)*100,0)*'Instellingen'!$B$10)/SUM('Instellingen'!$B$5:$B$10))</x:f>
        <x:v>45.246737767599186</x:v>
      </x:c>
      <x:c r="L14" t="n">
        <x:f>IF(K14="","",ROUND(('Instellingen'!$B$16+('Instellingen'!$B$17-'Instellingen'!$B$16)*POWER(K14/100,'Instellingen'!$B$18))/'Instellingen'!$B$19,0)*'Instellingen'!$B$19)</x:f>
        <x:v>1054</x:v>
      </x:c>
      <x:c r="M14"/>
      <x:c r="N14" t="n">
        <x:f>IF(L14="","",MAX('Instellingen'!$B$16,MIN('Instellingen'!$B$17,L14+IF(M14="",0,M14))))</x:f>
        <x:v>1054</x:v>
      </x:c>
      <x:c r="O14" t="str">
        <x:f>IF(N14="","",IF(N14&gt;='Instellingen'!$B$22,"Absolute top",IF(N14&gt;='Instellingen'!$B$23,"Kopman",IF(N14&gt;='Instellingen'!$B$24,"Sterke keuze",IF(N14&gt;='Instellingen'!$B$25,"Bruikbaar","Gok")))))</x:f>
        <x:v>Bruikbaar</x:v>
      </x:c>
      <x:c r="P14" t="str">
        <x:f>IF(A14="","",IF(D14="","Rol invullen","Compleet"))</x:f>
        <x:v>Compleet</x:v>
      </x:c>
      <x:c r="Q14" t="str">
        <x:v>https://www.procyclingstats.com/rider/richard-carapaz</x:v>
      </x:c>
    </x:row>
    <x:row r="15">
      <x:c r="A15" t="str">
        <x:v>SHAW James</x:v>
      </x:c>
      <x:c r="B15" t="str">
        <x:v>EF Education - EasyPost</x:v>
      </x:c>
      <x:c r="C15" t="str">
        <x:v>Nee</x:v>
      </x:c>
      <x:c r="D15" t="str">
        <x:v>Knecht</x:v>
      </x:c>
      <x:c r="E15" t="n">
        <x:v>668</x:v>
      </x:c>
      <x:c r="F15" t="n">
        <x:v>212</x:v>
      </x:c>
      <x:c r="G15" t="n">
        <x:v>505</x:v>
      </x:c>
      <x:c r="H15" t="n">
        <x:v>121</x:v>
      </x:c>
      <x:c r="I15" t="n">
        <x:f>IF(D15="","",IFERROR(VLOOKUP(D15,'Instellingen'!$D$5:$E$13,2,FALSE),""))</x:f>
        <x:v>30</x:v>
      </x:c>
      <x:c r="J15" t="n">
        <x:f>IF(C15="","",IF(C15="Ja",100,0))</x:f>
        <x:v>0</x:v>
      </x:c>
      <x:c r="K15" t="n">
        <x:f>IF(D15="","",SUM(I15*'Instellingen'!$B$5,J15*'Instellingen'!$B$6,IFERROR(E15/MAX($E$6:$E$167)*100,0)*'Instellingen'!$B$7,IFERROR(F15/MAX($F$6:$F$167)*100,0)*'Instellingen'!$B$8,IFERROR(G15/MAX($G$6:$G$167)*100,0)*'Instellingen'!$B$9,IFERROR(H15/MAX($H$6:$H$167)*100,0)*'Instellingen'!$B$10)/SUM('Instellingen'!$B$5:$B$10))</x:f>
        <x:v>8.38325519353455</x:v>
      </x:c>
      <x:c r="L15" t="n">
        <x:f>IF(K15="","",ROUND(('Instellingen'!$B$16+('Instellingen'!$B$17-'Instellingen'!$B$16)*POWER(K15/100,'Instellingen'!$B$18))/'Instellingen'!$B$19,0)*'Instellingen'!$B$19)</x:f>
        <x:v>377</x:v>
      </x:c>
      <x:c r="M15"/>
      <x:c r="N15" t="n">
        <x:f>IF(L15="","",MAX('Instellingen'!$B$16,MIN('Instellingen'!$B$17,L15+IF(M15="",0,M15))))</x:f>
        <x:v>377</x:v>
      </x:c>
      <x:c r="O15" t="str">
        <x:f>IF(N15="","",IF(N15&gt;='Instellingen'!$B$22,"Absolute top",IF(N15&gt;='Instellingen'!$B$23,"Kopman",IF(N15&gt;='Instellingen'!$B$24,"Sterke keuze",IF(N15&gt;='Instellingen'!$B$25,"Bruikbaar","Gok")))))</x:f>
        <x:v>Gok</x:v>
      </x:c>
      <x:c r="P15" t="str">
        <x:f>IF(A15="","",IF(D15="","Rol invullen","Compleet"))</x:f>
        <x:v>Compleet</x:v>
      </x:c>
      <x:c r="Q15" t="str">
        <x:v>https://www.procyclingstats.com/rider/james-shaw</x:v>
      </x:c>
    </x:row>
    <x:row r="16">
      <x:c r="A16" t="str">
        <x:v>MARTIN Guillaume</x:v>
      </x:c>
      <x:c r="B16" t="str">
        <x:v>Groupama - FDJ United</x:v>
      </x:c>
      <x:c r="C16" t="str">
        <x:v>Nee</x:v>
      </x:c>
      <x:c r="D16" t="str">
        <x:v>Kopman AK</x:v>
      </x:c>
      <x:c r="E16" t="n">
        <x:v>4232</x:v>
      </x:c>
      <x:c r="F16" t="n">
        <x:v>2651</x:v>
      </x:c>
      <x:c r="G16" t="n">
        <x:v>4247</x:v>
      </x:c>
      <x:c r="H16" t="n">
        <x:v>10</x:v>
      </x:c>
      <x:c r="I16" t="n">
        <x:f>IF(D16="","",IFERROR(VLOOKUP(D16,'Instellingen'!$D$5:$E$13,2,FALSE),""))</x:f>
        <x:v>100</x:v>
      </x:c>
      <x:c r="J16" t="n">
        <x:f>IF(C16="","",IF(C16="Ja",100,0))</x:f>
        <x:v>0</x:v>
      </x:c>
      <x:c r="K16" t="n">
        <x:f>IF(D16="","",SUM(I16*'Instellingen'!$B$5,J16*'Instellingen'!$B$6,IFERROR(E16/MAX($E$6:$E$167)*100,0)*'Instellingen'!$B$7,IFERROR(F16/MAX($F$6:$F$167)*100,0)*'Instellingen'!$B$8,IFERROR(G16/MAX($G$6:$G$167)*100,0)*'Instellingen'!$B$9,IFERROR(H16/MAX($H$6:$H$167)*100,0)*'Instellingen'!$B$10)/SUM('Instellingen'!$B$5:$B$10))</x:f>
        <x:v>42.75201776269888</x:v>
      </x:c>
      <x:c r="L16" t="n">
        <x:f>IF(K16="","",ROUND(('Instellingen'!$B$16+('Instellingen'!$B$17-'Instellingen'!$B$16)*POWER(K16/100,'Instellingen'!$B$18))/'Instellingen'!$B$19,0)*'Instellingen'!$B$19)</x:f>
        <x:v>999</x:v>
      </x:c>
      <x:c r="M16"/>
      <x:c r="N16" t="n">
        <x:f>IF(L16="","",MAX('Instellingen'!$B$16,MIN('Instellingen'!$B$17,L16+IF(M16="",0,M16))))</x:f>
        <x:v>999</x:v>
      </x:c>
      <x:c r="O16" t="str">
        <x:f>IF(N16="","",IF(N16&gt;='Instellingen'!$B$22,"Absolute top",IF(N16&gt;='Instellingen'!$B$23,"Kopman",IF(N16&gt;='Instellingen'!$B$24,"Sterke keuze",IF(N16&gt;='Instellingen'!$B$25,"Bruikbaar","Gok")))))</x:f>
        <x:v>Bruikbaar</x:v>
      </x:c>
      <x:c r="P16" t="str">
        <x:f>IF(A16="","",IF(D16="","Rol invullen","Compleet"))</x:f>
        <x:v>Compleet</x:v>
      </x:c>
      <x:c r="Q16" t="str">
        <x:v>https://www.procyclingstats.com/rider/guillaume-martin</x:v>
      </x:c>
    </x:row>
    <x:row r="17">
      <x:c r="A17" t="str">
        <x:v>BERTHET Clément</x:v>
      </x:c>
      <x:c r="B17" t="str">
        <x:v>Groupama - FDJ United</x:v>
      </x:c>
      <x:c r="C17" t="str">
        <x:v>Nee</x:v>
      </x:c>
      <x:c r="D17" t="str">
        <x:v>Meesterknecht</x:v>
      </x:c>
      <x:c r="E17" t="n">
        <x:v>773</x:v>
      </x:c>
      <x:c r="F17" t="n">
        <x:v>677</x:v>
      </x:c>
      <x:c r="G17" t="n">
        <x:v>835</x:v>
      </x:c>
      <x:c r="H17" t="n">
        <x:v>66</x:v>
      </x:c>
      <x:c r="I17" t="n">
        <x:f>IF(D17="","",IFERROR(VLOOKUP(D17,'Instellingen'!$D$5:$E$13,2,FALSE),""))</x:f>
        <x:v>55</x:v>
      </x:c>
      <x:c r="J17" t="n">
        <x:f>IF(C17="","",IF(C17="Ja",100,0))</x:f>
        <x:v>0</x:v>
      </x:c>
      <x:c r="K17" t="n">
        <x:f>IF(D17="","",SUM(I17*'Instellingen'!$B$5,J17*'Instellingen'!$B$6,IFERROR(E17/MAX($E$6:$E$167)*100,0)*'Instellingen'!$B$7,IFERROR(F17/MAX($F$6:$F$167)*100,0)*'Instellingen'!$B$8,IFERROR(G17/MAX($G$6:$G$167)*100,0)*'Instellingen'!$B$9,IFERROR(H17/MAX($H$6:$H$167)*100,0)*'Instellingen'!$B$10)/SUM('Instellingen'!$B$5:$B$10))</x:f>
        <x:v>13.790231573379387</x:v>
      </x:c>
      <x:c r="L17" t="n">
        <x:f>IF(K17="","",ROUND(('Instellingen'!$B$16+('Instellingen'!$B$17-'Instellingen'!$B$16)*POWER(K17/100,'Instellingen'!$B$18))/'Instellingen'!$B$19,0)*'Instellingen'!$B$19)</x:f>
        <x:v>452</x:v>
      </x:c>
      <x:c r="M17"/>
      <x:c r="N17" t="n">
        <x:f>IF(L17="","",MAX('Instellingen'!$B$16,MIN('Instellingen'!$B$17,L17+IF(M17="",0,M17))))</x:f>
        <x:v>452</x:v>
      </x:c>
      <x:c r="O17" t="str">
        <x:f>IF(N17="","",IF(N17&gt;='Instellingen'!$B$22,"Absolute top",IF(N17&gt;='Instellingen'!$B$23,"Kopman",IF(N17&gt;='Instellingen'!$B$24,"Sterke keuze",IF(N17&gt;='Instellingen'!$B$25,"Bruikbaar","Gok")))))</x:f>
        <x:v>Gok</x:v>
      </x:c>
      <x:c r="P17" t="str">
        <x:f>IF(A17="","",IF(D17="","Rol invullen","Compleet"))</x:f>
        <x:v>Compleet</x:v>
      </x:c>
      <x:c r="Q17" t="str">
        <x:v>https://www.procyclingstats.com/rider/clement-berthet</x:v>
      </x:c>
    </x:row>
    <x:row r="18">
      <x:c r="A18" t="str">
        <x:v>MOLARD Rudy</x:v>
      </x:c>
      <x:c r="B18" t="str">
        <x:v>Groupama - FDJ United</x:v>
      </x:c>
      <x:c r="C18" t="str">
        <x:v>Nee</x:v>
      </x:c>
      <x:c r="D18" t="str">
        <x:v>Vrijbuiter</x:v>
      </x:c>
      <x:c r="E18" t="n">
        <x:v>1807</x:v>
      </x:c>
      <x:c r="F18" t="n">
        <x:v>1951</x:v>
      </x:c>
      <x:c r="G18" t="n">
        <x:v>1842</x:v>
      </x:c>
      <x:c r="H18" t="n">
        <x:v>161</x:v>
      </x:c>
      <x:c r="I18" t="n">
        <x:f>IF(D18="","",IFERROR(VLOOKUP(D18,'Instellingen'!$D$5:$E$13,2,FALSE),""))</x:f>
        <x:v>65</x:v>
      </x:c>
      <x:c r="J18" t="n">
        <x:f>IF(C18="","",IF(C18="Ja",100,0))</x:f>
        <x:v>0</x:v>
      </x:c>
      <x:c r="K18" t="n">
        <x:f>IF(D18="","",SUM(I18*'Instellingen'!$B$5,J18*'Instellingen'!$B$6,IFERROR(E18/MAX($E$6:$E$167)*100,0)*'Instellingen'!$B$7,IFERROR(F18/MAX($F$6:$F$167)*100,0)*'Instellingen'!$B$8,IFERROR(G18/MAX($G$6:$G$167)*100,0)*'Instellingen'!$B$9,IFERROR(H18/MAX($H$6:$H$167)*100,0)*'Instellingen'!$B$10)/SUM('Instellingen'!$B$5:$B$10))</x:f>
        <x:v>23.2028251309298</x:v>
      </x:c>
      <x:c r="L18" t="n">
        <x:f>IF(K18="","",ROUND(('Instellingen'!$B$16+('Instellingen'!$B$17-'Instellingen'!$B$16)*POWER(K18/100,'Instellingen'!$B$18))/'Instellingen'!$B$19,0)*'Instellingen'!$B$19)</x:f>
        <x:v>606</x:v>
      </x:c>
      <x:c r="M18"/>
      <x:c r="N18" t="n">
        <x:f>IF(L18="","",MAX('Instellingen'!$B$16,MIN('Instellingen'!$B$17,L18+IF(M18="",0,M18))))</x:f>
        <x:v>606</x:v>
      </x:c>
      <x:c r="O18" t="str">
        <x:f>IF(N18="","",IF(N18&gt;='Instellingen'!$B$22,"Absolute top",IF(N18&gt;='Instellingen'!$B$23,"Kopman",IF(N18&gt;='Instellingen'!$B$24,"Sterke keuze",IF(N18&gt;='Instellingen'!$B$25,"Bruikbaar","Gok")))))</x:f>
        <x:v>Gok</x:v>
      </x:c>
      <x:c r="P18" t="str">
        <x:f>IF(A18="","",IF(D18="","Rol invullen","Compleet"))</x:f>
        <x:v>Compleet</x:v>
      </x:c>
      <x:c r="Q18" t="str">
        <x:v>https://www.procyclingstats.com/rider/rudy-molard</x:v>
      </x:c>
    </x:row>
    <x:row r="19">
      <x:c r="A19" t="str">
        <x:v>LAURANCE Axel</x:v>
      </x:c>
      <x:c r="B19" t="str">
        <x:v>Netcompany INEOS</x:v>
      </x:c>
      <x:c r="C19" t="str">
        <x:v>Ja</x:v>
      </x:c>
      <x:c r="D19" t="str">
        <x:v>Meesterknecht</x:v>
      </x:c>
      <x:c r="E19" t="n">
        <x:v>452</x:v>
      </x:c>
      <x:c r="F19" t="n">
        <x:v>755</x:v>
      </x:c>
      <x:c r="G19" t="n">
        <x:v>537</x:v>
      </x:c>
      <x:c r="H19" t="n">
        <x:v>42</x:v>
      </x:c>
      <x:c r="I19" t="n">
        <x:f>IF(D19="","",IFERROR(VLOOKUP(D19,'Instellingen'!$D$5:$E$13,2,FALSE),""))</x:f>
        <x:v>55</x:v>
      </x:c>
      <x:c r="J19" t="n">
        <x:f>IF(C19="","",IF(C19="Ja",100,0))</x:f>
        <x:v>100</x:v>
      </x:c>
      <x:c r="K19" t="n">
        <x:f>IF(D19="","",SUM(I19*'Instellingen'!$B$5,J19*'Instellingen'!$B$6,IFERROR(E19/MAX($E$6:$E$167)*100,0)*'Instellingen'!$B$7,IFERROR(F19/MAX($F$6:$F$167)*100,0)*'Instellingen'!$B$8,IFERROR(G19/MAX($G$6:$G$167)*100,0)*'Instellingen'!$B$9,IFERROR(H19/MAX($H$6:$H$167)*100,0)*'Instellingen'!$B$10)/SUM('Instellingen'!$B$5:$B$10))</x:f>
        <x:v>22.191103220761207</x:v>
      </x:c>
      <x:c r="L19" t="n">
        <x:f>IF(K19="","",ROUND(('Instellingen'!$B$16+('Instellingen'!$B$17-'Instellingen'!$B$16)*POWER(K19/100,'Instellingen'!$B$18))/'Instellingen'!$B$19,0)*'Instellingen'!$B$19)</x:f>
        <x:v>588</x:v>
      </x:c>
      <x:c r="M19"/>
      <x:c r="N19" t="n">
        <x:f>IF(L19="","",MAX('Instellingen'!$B$16,MIN('Instellingen'!$B$17,L19+IF(M19="",0,M19))))</x:f>
        <x:v>588</x:v>
      </x:c>
      <x:c r="O19" t="str">
        <x:f>IF(N19="","",IF(N19&gt;='Instellingen'!$B$22,"Absolute top",IF(N19&gt;='Instellingen'!$B$23,"Kopman",IF(N19&gt;='Instellingen'!$B$24,"Sterke keuze",IF(N19&gt;='Instellingen'!$B$25,"Bruikbaar","Gok")))))</x:f>
        <x:v>Gok</x:v>
      </x:c>
      <x:c r="P19" t="str">
        <x:f>IF(A19="","",IF(D19="","Rol invullen","Compleet"))</x:f>
        <x:v>Compleet</x:v>
      </x:c>
      <x:c r="Q19" t="str">
        <x:v>https://www.procyclingstats.com/rider/axel-laurance</x:v>
      </x:c>
    </x:row>
    <x:row r="20">
      <x:c r="A20" t="str">
        <x:v>RODRÍGUEZ Carlos</x:v>
      </x:c>
      <x:c r="B20" t="str">
        <x:v>Netcompany INEOS</x:v>
      </x:c>
      <x:c r="C20" t="str">
        <x:v>Ja</x:v>
      </x:c>
      <x:c r="D20" t="str">
        <x:v>Kopman AK</x:v>
      </x:c>
      <x:c r="E20" t="n">
        <x:v>2693</x:v>
      </x:c>
      <x:c r="F20" t="n">
        <x:v>529</x:v>
      </x:c>
      <x:c r="G20" t="n">
        <x:v>2638</x:v>
      </x:c>
      <x:c r="H20" t="n">
        <x:v>497</x:v>
      </x:c>
      <x:c r="I20" t="n">
        <x:f>IF(D20="","",IFERROR(VLOOKUP(D20,'Instellingen'!$D$5:$E$13,2,FALSE),""))</x:f>
        <x:v>100</x:v>
      </x:c>
      <x:c r="J20" t="n">
        <x:f>IF(C20="","",IF(C20="Ja",100,0))</x:f>
        <x:v>100</x:v>
      </x:c>
      <x:c r="K20" t="n">
        <x:f>IF(D20="","",SUM(I20*'Instellingen'!$B$5,J20*'Instellingen'!$B$6,IFERROR(E20/MAX($E$6:$E$167)*100,0)*'Instellingen'!$B$7,IFERROR(F20/MAX($F$6:$F$167)*100,0)*'Instellingen'!$B$8,IFERROR(G20/MAX($G$6:$G$167)*100,0)*'Instellingen'!$B$9,IFERROR(H20/MAX($H$6:$H$167)*100,0)*'Instellingen'!$B$10)/SUM('Instellingen'!$B$5:$B$10))</x:f>
        <x:v>40.919505307323156</x:v>
      </x:c>
      <x:c r="L20" t="n">
        <x:f>IF(K20="","",ROUND(('Instellingen'!$B$16+('Instellingen'!$B$17-'Instellingen'!$B$16)*POWER(K20/100,'Instellingen'!$B$18))/'Instellingen'!$B$19,0)*'Instellingen'!$B$19)</x:f>
        <x:v>958</x:v>
      </x:c>
      <x:c r="M20"/>
      <x:c r="N20" t="n">
        <x:f>IF(L20="","",MAX('Instellingen'!$B$16,MIN('Instellingen'!$B$17,L20+IF(M20="",0,M20))))</x:f>
        <x:v>958</x:v>
      </x:c>
      <x:c r="O20" t="str">
        <x:f>IF(N20="","",IF(N20&gt;='Instellingen'!$B$22,"Absolute top",IF(N20&gt;='Instellingen'!$B$23,"Kopman",IF(N20&gt;='Instellingen'!$B$24,"Sterke keuze",IF(N20&gt;='Instellingen'!$B$25,"Bruikbaar","Gok")))))</x:f>
        <x:v>Bruikbaar</x:v>
      </x:c>
      <x:c r="P20" t="str">
        <x:f>IF(A20="","",IF(D20="","Rol invullen","Compleet"))</x:f>
        <x:v>Compleet</x:v>
      </x:c>
      <x:c r="Q20" t="str">
        <x:v>https://www.procyclingstats.com/rider/carlos-rodriguez-cano</x:v>
      </x:c>
    </x:row>
    <x:row r="21">
      <x:c r="A21" t="str">
        <x:v>DE PLUS Laurens</x:v>
      </x:c>
      <x:c r="B21" t="str">
        <x:v>Netcompany INEOS</x:v>
      </x:c>
      <x:c r="C21" t="str">
        <x:v>Nee</x:v>
      </x:c>
      <x:c r="D21" t="str">
        <x:v>Vrijbuiter</x:v>
      </x:c>
      <x:c r="E21" t="n">
        <x:v>1533</x:v>
      </x:c>
      <x:c r="F21" t="n">
        <x:v>270</x:v>
      </x:c>
      <x:c r="G21" t="n">
        <x:v>1066</x:v>
      </x:c>
      <x:c r="H21" t="n">
        <x:v>446</x:v>
      </x:c>
      <x:c r="I21" t="n">
        <x:f>IF(D21="","",IFERROR(VLOOKUP(D21,'Instellingen'!$D$5:$E$13,2,FALSE),""))</x:f>
        <x:v>65</x:v>
      </x:c>
      <x:c r="J21" t="n">
        <x:f>IF(C21="","",IF(C21="Ja",100,0))</x:f>
        <x:v>0</x:v>
      </x:c>
      <x:c r="K21" t="n">
        <x:f>IF(D21="","",SUM(I21*'Instellingen'!$B$5,J21*'Instellingen'!$B$6,IFERROR(E21/MAX($E$6:$E$167)*100,0)*'Instellingen'!$B$7,IFERROR(F21/MAX($F$6:$F$167)*100,0)*'Instellingen'!$B$8,IFERROR(G21/MAX($G$6:$G$167)*100,0)*'Instellingen'!$B$9,IFERROR(H21/MAX($H$6:$H$167)*100,0)*'Instellingen'!$B$10)/SUM('Instellingen'!$B$5:$B$10))</x:f>
        <x:v>18.28499448320593</x:v>
      </x:c>
      <x:c r="L21" t="n">
        <x:f>IF(K21="","",ROUND(('Instellingen'!$B$16+('Instellingen'!$B$17-'Instellingen'!$B$16)*POWER(K21/100,'Instellingen'!$B$18))/'Instellingen'!$B$19,0)*'Instellingen'!$B$19)</x:f>
        <x:v>522</x:v>
      </x:c>
      <x:c r="M21"/>
      <x:c r="N21" t="n">
        <x:f>IF(L21="","",MAX('Instellingen'!$B$16,MIN('Instellingen'!$B$17,L21+IF(M21="",0,M21))))</x:f>
        <x:v>522</x:v>
      </x:c>
      <x:c r="O21" t="str">
        <x:f>IF(N21="","",IF(N21&gt;='Instellingen'!$B$22,"Absolute top",IF(N21&gt;='Instellingen'!$B$23,"Kopman",IF(N21&gt;='Instellingen'!$B$24,"Sterke keuze",IF(N21&gt;='Instellingen'!$B$25,"Bruikbaar","Gok")))))</x:f>
        <x:v>Gok</x:v>
      </x:c>
      <x:c r="P21" t="str">
        <x:f>IF(A21="","",IF(D21="","Rol invullen","Compleet"))</x:f>
        <x:v>Compleet</x:v>
      </x:c>
      <x:c r="Q21" t="str">
        <x:v>https://www.procyclingstats.com/rider/laurens-de-plus</x:v>
      </x:c>
    </x:row>
    <x:row r="22">
      <x:c r="A22" t="str">
        <x:v>ONLEY Oscar</x:v>
      </x:c>
      <x:c r="B22" t="str">
        <x:v>Netcompany INEOS</x:v>
      </x:c>
      <x:c r="C22" t="str">
        <x:v>Ja</x:v>
      </x:c>
      <x:c r="D22" t="str">
        <x:v>Kopman AK</x:v>
      </x:c>
      <x:c r="E22" t="n">
        <x:v>2156</x:v>
      </x:c>
      <x:c r="F22" t="n">
        <x:v>305</x:v>
      </x:c>
      <x:c r="G22" t="n">
        <x:v>1848</x:v>
      </x:c>
      <x:c r="H22" t="n">
        <x:v>321</x:v>
      </x:c>
      <x:c r="I22" t="n">
        <x:f>IF(D22="","",IFERROR(VLOOKUP(D22,'Instellingen'!$D$5:$E$13,2,FALSE),""))</x:f>
        <x:v>100</x:v>
      </x:c>
      <x:c r="J22" t="n">
        <x:f>IF(C22="","",IF(C22="Ja",100,0))</x:f>
        <x:v>100</x:v>
      </x:c>
      <x:c r="K22" t="n">
        <x:f>IF(D22="","",SUM(I22*'Instellingen'!$B$5,J22*'Instellingen'!$B$6,IFERROR(E22/MAX($E$6:$E$167)*100,0)*'Instellingen'!$B$7,IFERROR(F22/MAX($F$6:$F$167)*100,0)*'Instellingen'!$B$8,IFERROR(G22/MAX($G$6:$G$167)*100,0)*'Instellingen'!$B$9,IFERROR(H22/MAX($H$6:$H$167)*100,0)*'Instellingen'!$B$10)/SUM('Instellingen'!$B$5:$B$10))</x:f>
        <x:v>37.11235852075752</x:v>
      </x:c>
      <x:c r="L22" t="n">
        <x:f>IF(K22="","",ROUND(('Instellingen'!$B$16+('Instellingen'!$B$17-'Instellingen'!$B$16)*POWER(K22/100,'Instellingen'!$B$18))/'Instellingen'!$B$19,0)*'Instellingen'!$B$19)</x:f>
        <x:v>877</x:v>
      </x:c>
      <x:c r="M22"/>
      <x:c r="N22" t="n">
        <x:f>IF(L22="","",MAX('Instellingen'!$B$16,MIN('Instellingen'!$B$17,L22+IF(M22="",0,M22))))</x:f>
        <x:v>877</x:v>
      </x:c>
      <x:c r="O22" t="str">
        <x:f>IF(N22="","",IF(N22&gt;='Instellingen'!$B$22,"Absolute top",IF(N22&gt;='Instellingen'!$B$23,"Kopman",IF(N22&gt;='Instellingen'!$B$24,"Sterke keuze",IF(N22&gt;='Instellingen'!$B$25,"Bruikbaar","Gok")))))</x:f>
        <x:v>Bruikbaar</x:v>
      </x:c>
      <x:c r="P22" t="str">
        <x:f>IF(A22="","",IF(D22="","Rol invullen","Compleet"))</x:f>
        <x:v>Compleet</x:v>
      </x:c>
      <x:c r="Q22" t="str">
        <x:v>https://www.procyclingstats.com/rider/oscar-onley</x:v>
      </x:c>
    </x:row>
    <x:row r="23">
      <x:c r="A23" t="str">
        <x:v>SKJELMOSE Mattias</x:v>
      </x:c>
      <x:c r="B23" t="str">
        <x:v>Lidl - Trek</x:v>
      </x:c>
      <x:c r="C23" t="str">
        <x:v>Nee</x:v>
      </x:c>
      <x:c r="D23" t="str">
        <x:v>Kopman AK</x:v>
      </x:c>
      <x:c r="E23" t="n">
        <x:v>2640</x:v>
      </x:c>
      <x:c r="F23" t="n">
        <x:v>2192</x:v>
      </x:c>
      <x:c r="G23" t="n">
        <x:v>3006</x:v>
      </x:c>
      <x:c r="H23" t="n">
        <x:v>1370</x:v>
      </x:c>
      <x:c r="I23" t="n">
        <x:f>IF(D23="","",IFERROR(VLOOKUP(D23,'Instellingen'!$D$5:$E$13,2,FALSE),""))</x:f>
        <x:v>100</x:v>
      </x:c>
      <x:c r="J23" t="n">
        <x:f>IF(C23="","",IF(C23="Ja",100,0))</x:f>
        <x:v>0</x:v>
      </x:c>
      <x:c r="K23" t="n">
        <x:f>IF(D23="","",SUM(I23*'Instellingen'!$B$5,J23*'Instellingen'!$B$6,IFERROR(E23/MAX($E$6:$E$167)*100,0)*'Instellingen'!$B$7,IFERROR(F23/MAX($F$6:$F$167)*100,0)*'Instellingen'!$B$8,IFERROR(G23/MAX($G$6:$G$167)*100,0)*'Instellingen'!$B$9,IFERROR(H23/MAX($H$6:$H$167)*100,0)*'Instellingen'!$B$10)/SUM('Instellingen'!$B$5:$B$10))</x:f>
        <x:v>34.821675656422286</x:v>
      </x:c>
      <x:c r="L23" t="n">
        <x:f>IF(K23="","",ROUND(('Instellingen'!$B$16+('Instellingen'!$B$17-'Instellingen'!$B$16)*POWER(K23/100,'Instellingen'!$B$18))/'Instellingen'!$B$19,0)*'Instellingen'!$B$19)</x:f>
        <x:v>830</x:v>
      </x:c>
      <x:c r="M23"/>
      <x:c r="N23" t="n">
        <x:f>IF(L23="","",MAX('Instellingen'!$B$16,MIN('Instellingen'!$B$17,L23+IF(M23="",0,M23))))</x:f>
        <x:v>830</x:v>
      </x:c>
      <x:c r="O23" t="str">
        <x:f>IF(N23="","",IF(N23&gt;='Instellingen'!$B$22,"Absolute top",IF(N23&gt;='Instellingen'!$B$23,"Kopman",IF(N23&gt;='Instellingen'!$B$24,"Sterke keuze",IF(N23&gt;='Instellingen'!$B$25,"Bruikbaar","Gok")))))</x:f>
        <x:v>Bruikbaar</x:v>
      </x:c>
      <x:c r="P23" t="str">
        <x:f>IF(A23="","",IF(D23="","Rol invullen","Compleet"))</x:f>
        <x:v>Compleet</x:v>
      </x:c>
      <x:c r="Q23" t="str">
        <x:v>https://www.procyclingstats.com/rider/mattias-skjelmose-jensen</x:v>
      </x:c>
    </x:row>
    <x:row r="24">
      <x:c r="A24" t="str">
        <x:v>SUNEKÆR NORSGAARD Mathias</x:v>
      </x:c>
      <x:c r="B24" t="str">
        <x:v>Lidl - Trek</x:v>
      </x:c>
      <x:c r="C24" t="str">
        <x:v>Nee</x:v>
      </x:c>
      <x:c r="D24" t="str">
        <x:v>Lead-out</x:v>
      </x:c>
      <x:c r="E24" t="n">
        <x:v>111</x:v>
      </x:c>
      <x:c r="F24" t="n">
        <x:v>431</x:v>
      </x:c>
      <x:c r="G24" t="n">
        <x:v>2</x:v>
      </x:c>
      <x:c r="H24" t="n">
        <x:v>518</x:v>
      </x:c>
      <x:c r="I24" t="n">
        <x:f>IF(D24="","",IFERROR(VLOOKUP(D24,'Instellingen'!$D$5:$E$13,2,FALSE),""))</x:f>
        <x:v>45</x:v>
      </x:c>
      <x:c r="J24" t="n">
        <x:f>IF(C24="","",IF(C24="Ja",100,0))</x:f>
        <x:v>0</x:v>
      </x:c>
      <x:c r="K24" t="n">
        <x:f>IF(D24="","",SUM(I24*'Instellingen'!$B$5,J24*'Instellingen'!$B$6,IFERROR(E24/MAX($E$6:$E$167)*100,0)*'Instellingen'!$B$7,IFERROR(F24/MAX($F$6:$F$167)*100,0)*'Instellingen'!$B$8,IFERROR(G24/MAX($G$6:$G$167)*100,0)*'Instellingen'!$B$9,IFERROR(H24/MAX($H$6:$H$167)*100,0)*'Instellingen'!$B$10)/SUM('Instellingen'!$B$5:$B$10))</x:f>
        <x:v>8.369523769575519</x:v>
      </x:c>
      <x:c r="L24" t="n">
        <x:f>IF(K24="","",ROUND(('Instellingen'!$B$16+('Instellingen'!$B$17-'Instellingen'!$B$16)*POWER(K24/100,'Instellingen'!$B$18))/'Instellingen'!$B$19,0)*'Instellingen'!$B$19)</x:f>
        <x:v>377</x:v>
      </x:c>
      <x:c r="M24"/>
      <x:c r="N24" t="n">
        <x:f>IF(L24="","",MAX('Instellingen'!$B$16,MIN('Instellingen'!$B$17,L24+IF(M24="",0,M24))))</x:f>
        <x:v>377</x:v>
      </x:c>
      <x:c r="O24" t="str">
        <x:f>IF(N24="","",IF(N24&gt;='Instellingen'!$B$22,"Absolute top",IF(N24&gt;='Instellingen'!$B$23,"Kopman",IF(N24&gt;='Instellingen'!$B$24,"Sterke keuze",IF(N24&gt;='Instellingen'!$B$25,"Bruikbaar","Gok")))))</x:f>
        <x:v>Gok</x:v>
      </x:c>
      <x:c r="P24" t="str">
        <x:f>IF(A24="","",IF(D24="","Rol invullen","Compleet"))</x:f>
        <x:v>Compleet</x:v>
      </x:c>
      <x:c r="Q24" t="str">
        <x:v>https://www.procyclingstats.com/rider/mathias-norsgaard</x:v>
      </x:c>
    </x:row>
    <x:row r="25">
      <x:c r="A25" t="str">
        <x:v>NYS Thibau</x:v>
      </x:c>
      <x:c r="B25" t="str">
        <x:v>Lidl - Trek</x:v>
      </x:c>
      <x:c r="C25" t="str">
        <x:v>Ja</x:v>
      </x:c>
      <x:c r="D25" t="str">
        <x:v>Meesterknecht</x:v>
      </x:c>
      <x:c r="E25" t="n">
        <x:v>344</x:v>
      </x:c>
      <x:c r="F25" t="n">
        <x:v>900</x:v>
      </x:c>
      <x:c r="G25" t="n">
        <x:v>618</x:v>
      </x:c>
      <x:c r="H25" t="n">
        <x:v>76</x:v>
      </x:c>
      <x:c r="I25" t="n">
        <x:f>IF(D25="","",IFERROR(VLOOKUP(D25,'Instellingen'!$D$5:$E$13,2,FALSE),""))</x:f>
        <x:v>55</x:v>
      </x:c>
      <x:c r="J25" t="n">
        <x:f>IF(C25="","",IF(C25="Ja",100,0))</x:f>
        <x:v>100</x:v>
      </x:c>
      <x:c r="K25" t="n">
        <x:f>IF(D25="","",SUM(I25*'Instellingen'!$B$5,J25*'Instellingen'!$B$6,IFERROR(E25/MAX($E$6:$E$167)*100,0)*'Instellingen'!$B$7,IFERROR(F25/MAX($F$6:$F$167)*100,0)*'Instellingen'!$B$8,IFERROR(G25/MAX($G$6:$G$167)*100,0)*'Instellingen'!$B$9,IFERROR(H25/MAX($H$6:$H$167)*100,0)*'Instellingen'!$B$10)/SUM('Instellingen'!$B$5:$B$10))</x:f>
        <x:v>22.144857470091306</x:v>
      </x:c>
      <x:c r="L25" t="n">
        <x:f>IF(K25="","",ROUND(('Instellingen'!$B$16+('Instellingen'!$B$17-'Instellingen'!$B$16)*POWER(K25/100,'Instellingen'!$B$18))/'Instellingen'!$B$19,0)*'Instellingen'!$B$19)</x:f>
        <x:v>587</x:v>
      </x:c>
      <x:c r="M25"/>
      <x:c r="N25" t="n">
        <x:f>IF(L25="","",MAX('Instellingen'!$B$16,MIN('Instellingen'!$B$17,L25+IF(M25="",0,M25))))</x:f>
        <x:v>587</x:v>
      </x:c>
      <x:c r="O25" t="str">
        <x:f>IF(N25="","",IF(N25&gt;='Instellingen'!$B$22,"Absolute top",IF(N25&gt;='Instellingen'!$B$23,"Kopman",IF(N25&gt;='Instellingen'!$B$24,"Sterke keuze",IF(N25&gt;='Instellingen'!$B$25,"Bruikbaar","Gok")))))</x:f>
        <x:v>Gok</x:v>
      </x:c>
      <x:c r="P25" t="str">
        <x:f>IF(A25="","",IF(D25="","Rol invullen","Compleet"))</x:f>
        <x:v>Compleet</x:v>
      </x:c>
      <x:c r="Q25" t="str">
        <x:v>https://www.procyclingstats.com/rider/thibau-nys</x:v>
      </x:c>
    </x:row>
    <x:row r="26">
      <x:c r="A26" t="str">
        <x:v>PEDERSEN Mads</x:v>
      </x:c>
      <x:c r="B26" t="str">
        <x:v>Lidl - Trek</x:v>
      </x:c>
      <x:c r="C26" t="str">
        <x:v>Nee</x:v>
      </x:c>
      <x:c r="D26" t="str">
        <x:v>Kopman punten</x:v>
      </x:c>
      <x:c r="E26" t="n">
        <x:v>1802</x:v>
      </x:c>
      <x:c r="F26" t="n">
        <x:v>8343</x:v>
      </x:c>
      <x:c r="G26" t="n">
        <x:v>570</x:v>
      </x:c>
      <x:c r="H26" t="n">
        <x:v>1929</x:v>
      </x:c>
      <x:c r="I26" t="n">
        <x:f>IF(D26="","",IFERROR(VLOOKUP(D26,'Instellingen'!$D$5:$E$13,2,FALSE),""))</x:f>
        <x:v>90</x:v>
      </x:c>
      <x:c r="J26" t="n">
        <x:f>IF(C26="","",IF(C26="Ja",100,0))</x:f>
        <x:v>0</x:v>
      </x:c>
      <x:c r="K26" t="n">
        <x:f>IF(D26="","",SUM(I26*'Instellingen'!$B$5,J26*'Instellingen'!$B$6,IFERROR(E26/MAX($E$6:$E$167)*100,0)*'Instellingen'!$B$7,IFERROR(F26/MAX($F$6:$F$167)*100,0)*'Instellingen'!$B$8,IFERROR(G26/MAX($G$6:$G$167)*100,0)*'Instellingen'!$B$9,IFERROR(H26/MAX($H$6:$H$167)*100,0)*'Instellingen'!$B$10)/SUM('Instellingen'!$B$5:$B$10))</x:f>
        <x:v>37.810379251531366</x:v>
      </x:c>
      <x:c r="L26" t="n">
        <x:f>IF(K26="","",ROUND(('Instellingen'!$B$16+('Instellingen'!$B$17-'Instellingen'!$B$16)*POWER(K26/100,'Instellingen'!$B$18))/'Instellingen'!$B$19,0)*'Instellingen'!$B$19)</x:f>
        <x:v>892</x:v>
      </x:c>
      <x:c r="M26"/>
      <x:c r="N26" t="n">
        <x:f>IF(L26="","",MAX('Instellingen'!$B$16,MIN('Instellingen'!$B$17,L26+IF(M26="",0,M26))))</x:f>
        <x:v>892</x:v>
      </x:c>
      <x:c r="O26" t="str">
        <x:f>IF(N26="","",IF(N26&gt;='Instellingen'!$B$22,"Absolute top",IF(N26&gt;='Instellingen'!$B$23,"Kopman",IF(N26&gt;='Instellingen'!$B$24,"Sterke keuze",IF(N26&gt;='Instellingen'!$B$25,"Bruikbaar","Gok")))))</x:f>
        <x:v>Bruikbaar</x:v>
      </x:c>
      <x:c r="P26" t="str">
        <x:f>IF(A26="","",IF(D26="","Rol invullen","Compleet"))</x:f>
        <x:v>Compleet</x:v>
      </x:c>
      <x:c r="Q26" t="str">
        <x:v>https://www.procyclingstats.com/rider/mads-pedersen</x:v>
      </x:c>
    </x:row>
    <x:row r="27">
      <x:c r="A27" t="str">
        <x:v>WIDAR Jarno</x:v>
      </x:c>
      <x:c r="B27" t="str">
        <x:v>Lotto Intermarché</x:v>
      </x:c>
      <x:c r="C27" t="str">
        <x:v>Ja</x:v>
      </x:c>
      <x:c r="D27" t="str">
        <x:v>Knecht</x:v>
      </x:c>
      <x:c r="E27" t="n">
        <x:v>210</x:v>
      </x:c>
      <x:c r="F27" t="n">
        <x:v>194</x:v>
      </x:c>
      <x:c r="G27" t="n">
        <x:v>367</x:v>
      </x:c>
      <x:c r="H27" t="n">
        <x:v>40</x:v>
      </x:c>
      <x:c r="I27" t="n">
        <x:f>IF(D27="","",IFERROR(VLOOKUP(D27,'Instellingen'!$D$5:$E$13,2,FALSE),""))</x:f>
        <x:v>30</x:v>
      </x:c>
      <x:c r="J27" t="n">
        <x:f>IF(C27="","",IF(C27="Ja",100,0))</x:f>
        <x:v>100</x:v>
      </x:c>
      <x:c r="K27" t="n">
        <x:f>IF(D27="","",SUM(I27*'Instellingen'!$B$5,J27*'Instellingen'!$B$6,IFERROR(E27/MAX($E$6:$E$167)*100,0)*'Instellingen'!$B$7,IFERROR(F27/MAX($F$6:$F$167)*100,0)*'Instellingen'!$B$8,IFERROR(G27/MAX($G$6:$G$167)*100,0)*'Instellingen'!$B$9,IFERROR(H27/MAX($H$6:$H$167)*100,0)*'Instellingen'!$B$10)/SUM('Instellingen'!$B$5:$B$10))</x:f>
        <x:v>16.233367029385807</x:v>
      </x:c>
      <x:c r="L27" t="n">
        <x:f>IF(K27="","",ROUND(('Instellingen'!$B$16+('Instellingen'!$B$17-'Instellingen'!$B$16)*POWER(K27/100,'Instellingen'!$B$18))/'Instellingen'!$B$19,0)*'Instellingen'!$B$19)</x:f>
        <x:v>489</x:v>
      </x:c>
      <x:c r="M27"/>
      <x:c r="N27" t="n">
        <x:f>IF(L27="","",MAX('Instellingen'!$B$16,MIN('Instellingen'!$B$17,L27+IF(M27="",0,M27))))</x:f>
        <x:v>489</x:v>
      </x:c>
      <x:c r="O27" t="str">
        <x:f>IF(N27="","",IF(N27&gt;='Instellingen'!$B$22,"Absolute top",IF(N27&gt;='Instellingen'!$B$23,"Kopman",IF(N27&gt;='Instellingen'!$B$24,"Sterke keuze",IF(N27&gt;='Instellingen'!$B$25,"Bruikbaar","Gok")))))</x:f>
        <x:v>Gok</x:v>
      </x:c>
      <x:c r="P27" t="str">
        <x:f>IF(A27="","",IF(D27="","Rol invullen","Compleet"))</x:f>
        <x:v>Compleet</x:v>
      </x:c>
      <x:c r="Q27" t="str">
        <x:v>https://www.procyclingstats.com/rider/jarno-widar</x:v>
      </x:c>
    </x:row>
    <x:row r="28">
      <x:c r="A28" t="str">
        <x:v>CRAPS Lars</x:v>
      </x:c>
      <x:c r="B28" t="str">
        <x:v>Lotto Intermarché</x:v>
      </x:c>
      <x:c r="C28" t="str">
        <x:v>Ja</x:v>
      </x:c>
      <x:c r="D28" t="str">
        <x:v>Knecht</x:v>
      </x:c>
      <x:c r="E28" t="n">
        <x:v>186</x:v>
      </x:c>
      <x:c r="F28" t="n">
        <x:v>76</x:v>
      </x:c>
      <x:c r="G28" t="n">
        <x:v>138</x:v>
      </x:c>
      <x:c r="H28" t="n">
        <x:v>4</x:v>
      </x:c>
      <x:c r="I28" t="n">
        <x:f>IF(D28="","",IFERROR(VLOOKUP(D28,'Instellingen'!$D$5:$E$13,2,FALSE),""))</x:f>
        <x:v>30</x:v>
      </x:c>
      <x:c r="J28" t="n">
        <x:f>IF(C28="","",IF(C28="Ja",100,0))</x:f>
        <x:v>100</x:v>
      </x:c>
      <x:c r="K28" t="n">
        <x:f>IF(D28="","",SUM(I28*'Instellingen'!$B$5,J28*'Instellingen'!$B$6,IFERROR(E28/MAX($E$6:$E$167)*100,0)*'Instellingen'!$B$7,IFERROR(F28/MAX($F$6:$F$167)*100,0)*'Instellingen'!$B$8,IFERROR(G28/MAX($G$6:$G$167)*100,0)*'Instellingen'!$B$9,IFERROR(H28/MAX($H$6:$H$167)*100,0)*'Instellingen'!$B$10)/SUM('Instellingen'!$B$5:$B$10))</x:f>
        <x:v>15.584190281708874</x:v>
      </x:c>
      <x:c r="L28" t="n">
        <x:f>IF(K28="","",ROUND(('Instellingen'!$B$16+('Instellingen'!$B$17-'Instellingen'!$B$16)*POWER(K28/100,'Instellingen'!$B$18))/'Instellingen'!$B$19,0)*'Instellingen'!$B$19)</x:f>
        <x:v>479</x:v>
      </x:c>
      <x:c r="M28"/>
      <x:c r="N28" t="n">
        <x:f>IF(L28="","",MAX('Instellingen'!$B$16,MIN('Instellingen'!$B$17,L28+IF(M28="",0,M28))))</x:f>
        <x:v>479</x:v>
      </x:c>
      <x:c r="O28" t="str">
        <x:f>IF(N28="","",IF(N28&gt;='Instellingen'!$B$22,"Absolute top",IF(N28&gt;='Instellingen'!$B$23,"Kopman",IF(N28&gt;='Instellingen'!$B$24,"Sterke keuze",IF(N28&gt;='Instellingen'!$B$25,"Bruikbaar","Gok")))))</x:f>
        <x:v>Gok</x:v>
      </x:c>
      <x:c r="P28" t="str">
        <x:f>IF(A28="","",IF(D28="","Rol invullen","Compleet"))</x:f>
        <x:v>Compleet</x:v>
      </x:c>
      <x:c r="Q28" t="str">
        <x:v>https://www.procyclingstats.com/rider/lars-craps</x:v>
      </x:c>
    </x:row>
    <x:row r="29">
      <x:c r="A29" t="str">
        <x:v>VAN BOVEN Luca</x:v>
      </x:c>
      <x:c r="B29" t="str">
        <x:v>Lotto Intermarché</x:v>
      </x:c>
      <x:c r="C29" t="str">
        <x:v>Nee</x:v>
      </x:c>
      <x:c r="D29" t="str">
        <x:v>Lead-out</x:v>
      </x:c>
      <x:c r="E29" t="n">
        <x:v>184</x:v>
      </x:c>
      <x:c r="F29" t="n">
        <x:v>419</x:v>
      </x:c>
      <x:c r="G29" t="n">
        <x:v>64</x:v>
      </x:c>
      <x:c r="H29" t="n">
        <x:v>2</x:v>
      </x:c>
      <x:c r="I29" t="n">
        <x:f>IF(D29="","",IFERROR(VLOOKUP(D29,'Instellingen'!$D$5:$E$13,2,FALSE),""))</x:f>
        <x:v>45</x:v>
      </x:c>
      <x:c r="J29" t="n">
        <x:f>IF(C29="","",IF(C29="Ja",100,0))</x:f>
        <x:v>0</x:v>
      </x:c>
      <x:c r="K29" t="n">
        <x:f>IF(D29="","",SUM(I29*'Instellingen'!$B$5,J29*'Instellingen'!$B$6,IFERROR(E29/MAX($E$6:$E$167)*100,0)*'Instellingen'!$B$7,IFERROR(F29/MAX($F$6:$F$167)*100,0)*'Instellingen'!$B$8,IFERROR(G29/MAX($G$6:$G$167)*100,0)*'Instellingen'!$B$9,IFERROR(H29/MAX($H$6:$H$167)*100,0)*'Instellingen'!$B$10)/SUM('Instellingen'!$B$5:$B$10))</x:f>
        <x:v>8.325763768823169</x:v>
      </x:c>
      <x:c r="L29" t="n">
        <x:f>IF(K29="","",ROUND(('Instellingen'!$B$16+('Instellingen'!$B$17-'Instellingen'!$B$16)*POWER(K29/100,'Instellingen'!$B$18))/'Instellingen'!$B$19,0)*'Instellingen'!$B$19)</x:f>
        <x:v>377</x:v>
      </x:c>
      <x:c r="M29"/>
      <x:c r="N29" t="n">
        <x:f>IF(L29="","",MAX('Instellingen'!$B$16,MIN('Instellingen'!$B$17,L29+IF(M29="",0,M29))))</x:f>
        <x:v>377</x:v>
      </x:c>
      <x:c r="O29" t="str">
        <x:f>IF(N29="","",IF(N29&gt;='Instellingen'!$B$22,"Absolute top",IF(N29&gt;='Instellingen'!$B$23,"Kopman",IF(N29&gt;='Instellingen'!$B$24,"Sterke keuze",IF(N29&gt;='Instellingen'!$B$25,"Bruikbaar","Gok")))))</x:f>
        <x:v>Gok</x:v>
      </x:c>
      <x:c r="P29" t="str">
        <x:f>IF(A29="","",IF(D29="","Rol invullen","Compleet"))</x:f>
        <x:v>Compleet</x:v>
      </x:c>
      <x:c r="Q29" t="str">
        <x:v>https://www.procyclingstats.com/rider/luca-van-boven</x:v>
      </x:c>
    </x:row>
    <x:row r="30">
      <x:c r="A30" t="str">
        <x:v>BRAET Vito</x:v>
      </x:c>
      <x:c r="B30" t="str">
        <x:v>Lotto Intermarché</x:v>
      </x:c>
      <x:c r="C30" t="str">
        <x:v>Nee</x:v>
      </x:c>
      <x:c r="D30" t="str">
        <x:v>Meesterknecht</x:v>
      </x:c>
      <x:c r="E30" t="n">
        <x:v>76</x:v>
      </x:c>
      <x:c r="F30" t="n">
        <x:v>848</x:v>
      </x:c>
      <x:c r="G30" t="n">
        <x:v>76</x:v>
      </x:c>
      <x:c r="H30" t="n">
        <x:v>8</x:v>
      </x:c>
      <x:c r="I30" t="n">
        <x:f>IF(D30="","",IFERROR(VLOOKUP(D30,'Instellingen'!$D$5:$E$13,2,FALSE),""))</x:f>
        <x:v>55</x:v>
      </x:c>
      <x:c r="J30" t="n">
        <x:f>IF(C30="","",IF(C30="Ja",100,0))</x:f>
        <x:v>0</x:v>
      </x:c>
      <x:c r="K30" t="n">
        <x:f>IF(D30="","",SUM(I30*'Instellingen'!$B$5,J30*'Instellingen'!$B$6,IFERROR(E30/MAX($E$6:$E$167)*100,0)*'Instellingen'!$B$7,IFERROR(F30/MAX($F$6:$F$167)*100,0)*'Instellingen'!$B$8,IFERROR(G30/MAX($G$6:$G$167)*100,0)*'Instellingen'!$B$9,IFERROR(H30/MAX($H$6:$H$167)*100,0)*'Instellingen'!$B$10)/SUM('Instellingen'!$B$5:$B$10))</x:f>
        <x:v>10.161931307181321</x:v>
      </x:c>
      <x:c r="L30" t="n">
        <x:f>IF(K30="","",ROUND(('Instellingen'!$B$16+('Instellingen'!$B$17-'Instellingen'!$B$16)*POWER(K30/100,'Instellingen'!$B$18))/'Instellingen'!$B$19,0)*'Instellingen'!$B$19)</x:f>
        <x:v>400</x:v>
      </x:c>
      <x:c r="M30"/>
      <x:c r="N30" t="n">
        <x:f>IF(L30="","",MAX('Instellingen'!$B$16,MIN('Instellingen'!$B$17,L30+IF(M30="",0,M30))))</x:f>
        <x:v>400</x:v>
      </x:c>
      <x:c r="O30" t="str">
        <x:f>IF(N30="","",IF(N30&gt;='Instellingen'!$B$22,"Absolute top",IF(N30&gt;='Instellingen'!$B$23,"Kopman",IF(N30&gt;='Instellingen'!$B$24,"Sterke keuze",IF(N30&gt;='Instellingen'!$B$25,"Bruikbaar","Gok")))))</x:f>
        <x:v>Gok</x:v>
      </x:c>
      <x:c r="P30" t="str">
        <x:f>IF(A30="","",IF(D30="","Rol invullen","Compleet"))</x:f>
        <x:v>Compleet</x:v>
      </x:c>
      <x:c r="Q30" t="str">
        <x:v>https://www.procyclingstats.com/rider/vito-braet</x:v>
      </x:c>
    </x:row>
    <x:row r="31">
      <x:c r="A31" t="str">
        <x:v>DE SCHUYTENEER Steffen</x:v>
      </x:c>
      <x:c r="B31" t="str">
        <x:v>Lotto Intermarché</x:v>
      </x:c>
      <x:c r="C31" t="str">
        <x:v>Ja</x:v>
      </x:c>
      <x:c r="D31" t="str">
        <x:v>Sprinter</x:v>
      </x:c>
      <x:c r="E31" t="n">
        <x:v>171</x:v>
      </x:c>
      <x:c r="F31" t="n">
        <x:v>1045</x:v>
      </x:c>
      <x:c r="G31" t="n">
        <x:v>0</x:v>
      </x:c>
      <x:c r="H31" t="n">
        <x:v>76</x:v>
      </x:c>
      <x:c r="I31" t="n">
        <x:f>IF(D31="","",IFERROR(VLOOKUP(D31,'Instellingen'!$D$5:$E$13,2,FALSE),""))</x:f>
        <x:v>80</x:v>
      </x:c>
      <x:c r="J31" t="n">
        <x:f>IF(C31="","",IF(C31="Ja",100,0))</x:f>
        <x:v>100</x:v>
      </x:c>
      <x:c r="K31" t="n">
        <x:f>IF(D31="","",SUM(I31*'Instellingen'!$B$5,J31*'Instellingen'!$B$6,IFERROR(E31/MAX($E$6:$E$167)*100,0)*'Instellingen'!$B$7,IFERROR(F31/MAX($F$6:$F$167)*100,0)*'Instellingen'!$B$8,IFERROR(G31/MAX($G$6:$G$167)*100,0)*'Instellingen'!$B$9,IFERROR(H31/MAX($H$6:$H$167)*100,0)*'Instellingen'!$B$10)/SUM('Instellingen'!$B$5:$B$10))</x:f>
        <x:v>24.593793198990067</x:v>
      </x:c>
      <x:c r="L31" t="n">
        <x:f>IF(K31="","",ROUND(('Instellingen'!$B$16+('Instellingen'!$B$17-'Instellingen'!$B$16)*POWER(K31/100,'Instellingen'!$B$18))/'Instellingen'!$B$19,0)*'Instellingen'!$B$19)</x:f>
        <x:v>631</x:v>
      </x:c>
      <x:c r="M31"/>
      <x:c r="N31" t="n">
        <x:f>IF(L31="","",MAX('Instellingen'!$B$16,MIN('Instellingen'!$B$17,L31+IF(M31="",0,M31))))</x:f>
        <x:v>631</x:v>
      </x:c>
      <x:c r="O31" t="str">
        <x:f>IF(N31="","",IF(N31&gt;='Instellingen'!$B$22,"Absolute top",IF(N31&gt;='Instellingen'!$B$23,"Kopman",IF(N31&gt;='Instellingen'!$B$24,"Sterke keuze",IF(N31&gt;='Instellingen'!$B$25,"Bruikbaar","Gok")))))</x:f>
        <x:v>Gok</x:v>
      </x:c>
      <x:c r="P31" t="str">
        <x:f>IF(A31="","",IF(D31="","Rol invullen","Compleet"))</x:f>
        <x:v>Compleet</x:v>
      </x:c>
      <x:c r="Q31" t="str">
        <x:v>https://www.procyclingstats.com/rider/steffen-de-schuyteneer</x:v>
      </x:c>
    </x:row>
    <x:row r="32">
      <x:c r="A32" t="str">
        <x:v>ROTA Lorenzo</x:v>
      </x:c>
      <x:c r="B32" t="str">
        <x:v>Lotto Intermarché</x:v>
      </x:c>
      <x:c r="C32" t="str">
        <x:v>Nee</x:v>
      </x:c>
      <x:c r="D32" t="str">
        <x:v>Sprinter</x:v>
      </x:c>
      <x:c r="E32" t="n">
        <x:v>849</x:v>
      </x:c>
      <x:c r="F32" t="n">
        <x:v>2065</x:v>
      </x:c>
      <x:c r="G32" t="n">
        <x:v>1120</x:v>
      </x:c>
      <x:c r="H32" t="n">
        <x:v>23</x:v>
      </x:c>
      <x:c r="I32" t="n">
        <x:f>IF(D32="","",IFERROR(VLOOKUP(D32,'Instellingen'!$D$5:$E$13,2,FALSE),""))</x:f>
        <x:v>80</x:v>
      </x:c>
      <x:c r="J32" t="n">
        <x:f>IF(C32="","",IF(C32="Ja",100,0))</x:f>
        <x:v>0</x:v>
      </x:c>
      <x:c r="K32" t="n">
        <x:f>IF(D32="","",SUM(I32*'Instellingen'!$B$5,J32*'Instellingen'!$B$6,IFERROR(E32/MAX($E$6:$E$167)*100,0)*'Instellingen'!$B$7,IFERROR(F32/MAX($F$6:$F$167)*100,0)*'Instellingen'!$B$8,IFERROR(G32/MAX($G$6:$G$167)*100,0)*'Instellingen'!$B$9,IFERROR(H32/MAX($H$6:$H$167)*100,0)*'Instellingen'!$B$10)/SUM('Instellingen'!$B$5:$B$10))</x:f>
        <x:v>20.649981294309217</x:v>
      </x:c>
      <x:c r="L32" t="n">
        <x:f>IF(K32="","",ROUND(('Instellingen'!$B$16+('Instellingen'!$B$17-'Instellingen'!$B$16)*POWER(K32/100,'Instellingen'!$B$18))/'Instellingen'!$B$19,0)*'Instellingen'!$B$19)</x:f>
        <x:v>562</x:v>
      </x:c>
      <x:c r="M32"/>
      <x:c r="N32" t="n">
        <x:f>IF(L32="","",MAX('Instellingen'!$B$16,MIN('Instellingen'!$B$17,L32+IF(M32="",0,M32))))</x:f>
        <x:v>562</x:v>
      </x:c>
      <x:c r="O32" t="str">
        <x:f>IF(N32="","",IF(N32&gt;='Instellingen'!$B$22,"Absolute top",IF(N32&gt;='Instellingen'!$B$23,"Kopman",IF(N32&gt;='Instellingen'!$B$24,"Sterke keuze",IF(N32&gt;='Instellingen'!$B$25,"Bruikbaar","Gok")))))</x:f>
        <x:v>Gok</x:v>
      </x:c>
      <x:c r="P32" t="str">
        <x:f>IF(A32="","",IF(D32="","Rol invullen","Compleet"))</x:f>
        <x:v>Compleet</x:v>
      </x:c>
      <x:c r="Q32" t="str">
        <x:v>https://www.procyclingstats.com/rider/lorenzo-rota</x:v>
      </x:c>
    </x:row>
    <x:row r="33">
      <x:c r="A33" t="str">
        <x:v>VAN SINTMAARTENSDIJK Roel</x:v>
      </x:c>
      <x:c r="B33" t="str">
        <x:v>Lotto Intermarché</x:v>
      </x:c>
      <x:c r="C33" t="str">
        <x:v>Ja</x:v>
      </x:c>
      <x:c r="D33" t="str">
        <x:v>Onzeker</x:v>
      </x:c>
      <x:c r="E33" t="n">
        <x:v>130</x:v>
      </x:c>
      <x:c r="F33" t="n">
        <x:v>136</x:v>
      </x:c>
      <x:c r="G33" t="n">
        <x:v>10</x:v>
      </x:c>
      <x:c r="H33" t="n">
        <x:v>56</x:v>
      </x:c>
      <x:c r="I33" t="n">
        <x:f>IF(D33="","",IFERROR(VLOOKUP(D33,'Instellingen'!$D$5:$E$13,2,FALSE),""))</x:f>
        <x:v>20</x:v>
      </x:c>
      <x:c r="J33" t="n">
        <x:f>IF(C33="","",IF(C33="Ja",100,0))</x:f>
        <x:v>100</x:v>
      </x:c>
      <x:c r="K33" t="n">
        <x:f>IF(D33="","",SUM(I33*'Instellingen'!$B$5,J33*'Instellingen'!$B$6,IFERROR(E33/MAX($E$6:$E$167)*100,0)*'Instellingen'!$B$7,IFERROR(F33/MAX($F$6:$F$167)*100,0)*'Instellingen'!$B$8,IFERROR(G33/MAX($G$6:$G$167)*100,0)*'Instellingen'!$B$9,IFERROR(H33/MAX($H$6:$H$167)*100,0)*'Instellingen'!$B$10)/SUM('Instellingen'!$B$5:$B$10))</x:f>
        <x:v>13.82616572475701</x:v>
      </x:c>
      <x:c r="L33" t="n">
        <x:f>IF(K33="","",ROUND(('Instellingen'!$B$16+('Instellingen'!$B$17-'Instellingen'!$B$16)*POWER(K33/100,'Instellingen'!$B$18))/'Instellingen'!$B$19,0)*'Instellingen'!$B$19)</x:f>
        <x:v>452</x:v>
      </x:c>
      <x:c r="M33"/>
      <x:c r="N33" t="n">
        <x:f>IF(L33="","",MAX('Instellingen'!$B$16,MIN('Instellingen'!$B$17,L33+IF(M33="",0,M33))))</x:f>
        <x:v>452</x:v>
      </x:c>
      <x:c r="O33" t="str">
        <x:f>IF(N33="","",IF(N33&gt;='Instellingen'!$B$22,"Absolute top",IF(N33&gt;='Instellingen'!$B$23,"Kopman",IF(N33&gt;='Instellingen'!$B$24,"Sterke keuze",IF(N33&gt;='Instellingen'!$B$25,"Bruikbaar","Gok")))))</x:f>
        <x:v>Gok</x:v>
      </x:c>
      <x:c r="P33" t="str">
        <x:f>IF(A33="","",IF(D33="","Rol invullen","Compleet"))</x:f>
        <x:v>Compleet</x:v>
      </x:c>
      <x:c r="Q33" t="str">
        <x:v>https://www.procyclingstats.com/rider/roel-van-sintmaartensdijk</x:v>
      </x:c>
    </x:row>
    <x:row r="34">
      <x:c r="A34" t="str">
        <x:v>THOMPSON Reuben</x:v>
      </x:c>
      <x:c r="B34" t="str">
        <x:v>Lotto Intermarché</x:v>
      </x:c>
      <x:c r="C34" t="str">
        <x:v>Ja</x:v>
      </x:c>
      <x:c r="D34" t="str">
        <x:v>Knecht</x:v>
      </x:c>
      <x:c r="E34" t="n">
        <x:v>244</x:v>
      </x:c>
      <x:c r="F34" t="n">
        <x:v>87</x:v>
      </x:c>
      <x:c r="G34" t="n">
        <x:v>154</x:v>
      </x:c>
      <x:c r="H34" t="n">
        <x:v>25</x:v>
      </x:c>
      <x:c r="I34" t="n">
        <x:f>IF(D34="","",IFERROR(VLOOKUP(D34,'Instellingen'!$D$5:$E$13,2,FALSE),""))</x:f>
        <x:v>30</x:v>
      </x:c>
      <x:c r="J34" t="n">
        <x:f>IF(C34="","",IF(C34="Ja",100,0))</x:f>
        <x:v>100</x:v>
      </x:c>
      <x:c r="K34" t="n">
        <x:f>IF(D34="","",SUM(I34*'Instellingen'!$B$5,J34*'Instellingen'!$B$6,IFERROR(E34/MAX($E$6:$E$167)*100,0)*'Instellingen'!$B$7,IFERROR(F34/MAX($F$6:$F$167)*100,0)*'Instellingen'!$B$8,IFERROR(G34/MAX($G$6:$G$167)*100,0)*'Instellingen'!$B$9,IFERROR(H34/MAX($H$6:$H$167)*100,0)*'Instellingen'!$B$10)/SUM('Instellingen'!$B$5:$B$10))</x:f>
        <x:v>15.878187806535509</x:v>
      </x:c>
      <x:c r="L34" t="n">
        <x:f>IF(K34="","",ROUND(('Instellingen'!$B$16+('Instellingen'!$B$17-'Instellingen'!$B$16)*POWER(K34/100,'Instellingen'!$B$18))/'Instellingen'!$B$19,0)*'Instellingen'!$B$19)</x:f>
        <x:v>483</x:v>
      </x:c>
      <x:c r="M34"/>
      <x:c r="N34" t="n">
        <x:f>IF(L34="","",MAX('Instellingen'!$B$16,MIN('Instellingen'!$B$17,L34+IF(M34="",0,M34))))</x:f>
        <x:v>483</x:v>
      </x:c>
      <x:c r="O34" t="str">
        <x:f>IF(N34="","",IF(N34&gt;='Instellingen'!$B$22,"Absolute top",IF(N34&gt;='Instellingen'!$B$23,"Kopman",IF(N34&gt;='Instellingen'!$B$24,"Sterke keuze",IF(N34&gt;='Instellingen'!$B$25,"Bruikbaar","Gok")))))</x:f>
        <x:v>Gok</x:v>
      </x:c>
      <x:c r="P34" t="str">
        <x:f>IF(A34="","",IF(D34="","Rol invullen","Compleet"))</x:f>
        <x:v>Compleet</x:v>
      </x:c>
      <x:c r="Q34" t="str">
        <x:v>https://www.procyclingstats.com/rider/reuben-thompson</x:v>
      </x:c>
    </x:row>
    <x:row r="35">
      <x:c r="A35" t="str">
        <x:v>MAS Enric</x:v>
      </x:c>
      <x:c r="B35" t="str">
        <x:v>Movistar Team</x:v>
      </x:c>
      <x:c r="C35" t="str">
        <x:v>Nee</x:v>
      </x:c>
      <x:c r="D35" t="str">
        <x:v>Kopman AK</x:v>
      </x:c>
      <x:c r="E35" t="n">
        <x:v>5152</x:v>
      </x:c>
      <x:c r="F35" t="n">
        <x:v>1119</x:v>
      </x:c>
      <x:c r="G35" t="n">
        <x:v>6028</x:v>
      </x:c>
      <x:c r="H35" t="n">
        <x:v>696</x:v>
      </x:c>
      <x:c r="I35" t="n">
        <x:f>IF(D35="","",IFERROR(VLOOKUP(D35,'Instellingen'!$D$5:$E$13,2,FALSE),""))</x:f>
        <x:v>100</x:v>
      </x:c>
      <x:c r="J35" t="n">
        <x:f>IF(C35="","",IF(C35="Ja",100,0))</x:f>
        <x:v>0</x:v>
      </x:c>
      <x:c r="K35" t="n">
        <x:f>IF(D35="","",SUM(I35*'Instellingen'!$B$5,J35*'Instellingen'!$B$6,IFERROR(E35/MAX($E$6:$E$167)*100,0)*'Instellingen'!$B$7,IFERROR(F35/MAX($F$6:$F$167)*100,0)*'Instellingen'!$B$8,IFERROR(G35/MAX($G$6:$G$167)*100,0)*'Instellingen'!$B$9,IFERROR(H35/MAX($H$6:$H$167)*100,0)*'Instellingen'!$B$10)/SUM('Instellingen'!$B$5:$B$10))</x:f>
        <x:v>46.79627222351617</x:v>
      </x:c>
      <x:c r="L35" t="n">
        <x:f>IF(K35="","",ROUND(('Instellingen'!$B$16+('Instellingen'!$B$17-'Instellingen'!$B$16)*POWER(K35/100,'Instellingen'!$B$18))/'Instellingen'!$B$19,0)*'Instellingen'!$B$19)</x:f>
        <x:v>1089</x:v>
      </x:c>
      <x:c r="M35"/>
      <x:c r="N35" t="n">
        <x:f>IF(L35="","",MAX('Instellingen'!$B$16,MIN('Instellingen'!$B$17,L35+IF(M35="",0,M35))))</x:f>
        <x:v>1089</x:v>
      </x:c>
      <x:c r="O35" t="str">
        <x:f>IF(N35="","",IF(N35&gt;='Instellingen'!$B$22,"Absolute top",IF(N35&gt;='Instellingen'!$B$23,"Kopman",IF(N35&gt;='Instellingen'!$B$24,"Sterke keuze",IF(N35&gt;='Instellingen'!$B$25,"Bruikbaar","Gok")))))</x:f>
        <x:v>Bruikbaar</x:v>
      </x:c>
      <x:c r="P35" t="str">
        <x:f>IF(A35="","",IF(D35="","Rol invullen","Compleet"))</x:f>
        <x:v>Compleet</x:v>
      </x:c>
      <x:c r="Q35" t="str">
        <x:v>https://www.procyclingstats.com/rider/enric-mas</x:v>
      </x:c>
    </x:row>
    <x:row r="36">
      <x:c r="A36" t="str">
        <x:v>ROMEO Iván</x:v>
      </x:c>
      <x:c r="B36" t="str">
        <x:v>Movistar Team</x:v>
      </x:c>
      <x:c r="C36" t="str">
        <x:v>Ja</x:v>
      </x:c>
      <x:c r="D36" t="str">
        <x:v>Meesterknecht</x:v>
      </x:c>
      <x:c r="E36" t="n">
        <x:v>747</x:v>
      </x:c>
      <x:c r="F36" t="n">
        <x:v>308</x:v>
      </x:c>
      <x:c r="G36" t="n">
        <x:v>340</x:v>
      </x:c>
      <x:c r="H36" t="n">
        <x:v>664</x:v>
      </x:c>
      <x:c r="I36" t="n">
        <x:f>IF(D36="","",IFERROR(VLOOKUP(D36,'Instellingen'!$D$5:$E$13,2,FALSE),""))</x:f>
        <x:v>55</x:v>
      </x:c>
      <x:c r="J36" t="n">
        <x:f>IF(C36="","",IF(C36="Ja",100,0))</x:f>
        <x:v>100</x:v>
      </x:c>
      <x:c r="K36" t="n">
        <x:f>IF(D36="","",SUM(I36*'Instellingen'!$B$5,J36*'Instellingen'!$B$6,IFERROR(E36/MAX($E$6:$E$167)*100,0)*'Instellingen'!$B$7,IFERROR(F36/MAX($F$6:$F$167)*100,0)*'Instellingen'!$B$8,IFERROR(G36/MAX($G$6:$G$167)*100,0)*'Instellingen'!$B$9,IFERROR(H36/MAX($H$6:$H$167)*100,0)*'Instellingen'!$B$10)/SUM('Instellingen'!$B$5:$B$10))</x:f>
        <x:v>22.822736833575735</x:v>
      </x:c>
      <x:c r="L36" t="n">
        <x:f>IF(K36="","",ROUND(('Instellingen'!$B$16+('Instellingen'!$B$17-'Instellingen'!$B$16)*POWER(K36/100,'Instellingen'!$B$18))/'Instellingen'!$B$19,0)*'Instellingen'!$B$19)</x:f>
        <x:v>599</x:v>
      </x:c>
      <x:c r="M36"/>
      <x:c r="N36" t="n">
        <x:f>IF(L36="","",MAX('Instellingen'!$B$16,MIN('Instellingen'!$B$17,L36+IF(M36="",0,M36))))</x:f>
        <x:v>599</x:v>
      </x:c>
      <x:c r="O36" t="str">
        <x:f>IF(N36="","",IF(N36&gt;='Instellingen'!$B$22,"Absolute top",IF(N36&gt;='Instellingen'!$B$23,"Kopman",IF(N36&gt;='Instellingen'!$B$24,"Sterke keuze",IF(N36&gt;='Instellingen'!$B$25,"Bruikbaar","Gok")))))</x:f>
        <x:v>Gok</x:v>
      </x:c>
      <x:c r="P36" t="str">
        <x:f>IF(A36="","",IF(D36="","Rol invullen","Compleet"))</x:f>
        <x:v>Compleet</x:v>
      </x:c>
      <x:c r="Q36" t="str">
        <x:v>https://www.procyclingstats.com/rider/ivan-romeo</x:v>
      </x:c>
    </x:row>
    <x:row r="37">
      <x:c r="A37" t="str">
        <x:v>UIJTDEBROEKS Cian</x:v>
      </x:c>
      <x:c r="B37" t="str">
        <x:v>Movistar Team</x:v>
      </x:c>
      <x:c r="C37" t="str">
        <x:v>Ja</x:v>
      </x:c>
      <x:c r="D37" t="str">
        <x:v>Meesterknecht</x:v>
      </x:c>
      <x:c r="E37" t="n">
        <x:v>1402</x:v>
      </x:c>
      <x:c r="F37" t="n">
        <x:v>258</x:v>
      </x:c>
      <x:c r="G37" t="n">
        <x:v>1320</x:v>
      </x:c>
      <x:c r="H37" t="n">
        <x:v>88</x:v>
      </x:c>
      <x:c r="I37" t="n">
        <x:f>IF(D37="","",IFERROR(VLOOKUP(D37,'Instellingen'!$D$5:$E$13,2,FALSE),""))</x:f>
        <x:v>55</x:v>
      </x:c>
      <x:c r="J37" t="n">
        <x:f>IF(C37="","",IF(C37="Ja",100,0))</x:f>
        <x:v>100</x:v>
      </x:c>
      <x:c r="K37" t="n">
        <x:f>IF(D37="","",SUM(I37*'Instellingen'!$B$5,J37*'Instellingen'!$B$6,IFERROR(E37/MAX($E$6:$E$167)*100,0)*'Instellingen'!$B$7,IFERROR(F37/MAX($F$6:$F$167)*100,0)*'Instellingen'!$B$8,IFERROR(G37/MAX($G$6:$G$167)*100,0)*'Instellingen'!$B$9,IFERROR(H37/MAX($H$6:$H$167)*100,0)*'Instellingen'!$B$10)/SUM('Instellingen'!$B$5:$B$10))</x:f>
        <x:v>26.299562798248306</x:v>
      </x:c>
      <x:c r="L37" t="n">
        <x:f>IF(K37="","",ROUND(('Instellingen'!$B$16+('Instellingen'!$B$17-'Instellingen'!$B$16)*POWER(K37/100,'Instellingen'!$B$18))/'Instellingen'!$B$19,0)*'Instellingen'!$B$19)</x:f>
        <x:v>663</x:v>
      </x:c>
      <x:c r="M37"/>
      <x:c r="N37" t="n">
        <x:f>IF(L37="","",MAX('Instellingen'!$B$16,MIN('Instellingen'!$B$17,L37+IF(M37="",0,M37))))</x:f>
        <x:v>663</x:v>
      </x:c>
      <x:c r="O37" t="str">
        <x:f>IF(N37="","",IF(N37&gt;='Instellingen'!$B$22,"Absolute top",IF(N37&gt;='Instellingen'!$B$23,"Kopman",IF(N37&gt;='Instellingen'!$B$24,"Sterke keuze",IF(N37&gt;='Instellingen'!$B$25,"Bruikbaar","Gok")))))</x:f>
        <x:v>Gok</x:v>
      </x:c>
      <x:c r="P37" t="str">
        <x:f>IF(A37="","",IF(D37="","Rol invullen","Compleet"))</x:f>
        <x:v>Compleet</x:v>
      </x:c>
      <x:c r="Q37" t="str">
        <x:v>https://www.procyclingstats.com/rider/cian-uijtdebroeks</x:v>
      </x:c>
    </x:row>
    <x:row r="38">
      <x:c r="A38" t="str">
        <x:v>GARCÍA PIERNA Raúl</x:v>
      </x:c>
      <x:c r="B38" t="str">
        <x:v>Movistar Team</x:v>
      </x:c>
      <x:c r="C38" t="str">
        <x:v>Ja</x:v>
      </x:c>
      <x:c r="D38" t="str">
        <x:v>Knecht</x:v>
      </x:c>
      <x:c r="E38" t="n">
        <x:v>503</x:v>
      </x:c>
      <x:c r="F38" t="n">
        <x:v>118</x:v>
      </x:c>
      <x:c r="G38" t="n">
        <x:v>552</x:v>
      </x:c>
      <x:c r="H38" t="n">
        <x:v>443</x:v>
      </x:c>
      <x:c r="I38" t="n">
        <x:f>IF(D38="","",IFERROR(VLOOKUP(D38,'Instellingen'!$D$5:$E$13,2,FALSE),""))</x:f>
        <x:v>30</x:v>
      </x:c>
      <x:c r="J38" t="n">
        <x:f>IF(C38="","",IF(C38="Ja",100,0))</x:f>
        <x:v>100</x:v>
      </x:c>
      <x:c r="K38" t="n">
        <x:f>IF(D38="","",SUM(I38*'Instellingen'!$B$5,J38*'Instellingen'!$B$6,IFERROR(E38/MAX($E$6:$E$167)*100,0)*'Instellingen'!$B$7,IFERROR(F38/MAX($F$6:$F$167)*100,0)*'Instellingen'!$B$8,IFERROR(G38/MAX($G$6:$G$167)*100,0)*'Instellingen'!$B$9,IFERROR(H38/MAX($H$6:$H$167)*100,0)*'Instellingen'!$B$10)/SUM('Instellingen'!$B$5:$B$10))</x:f>
        <x:v>17.86394644791254</x:v>
      </x:c>
      <x:c r="L38" t="n">
        <x:f>IF(K38="","",ROUND(('Instellingen'!$B$16+('Instellingen'!$B$17-'Instellingen'!$B$16)*POWER(K38/100,'Instellingen'!$B$18))/'Instellingen'!$B$19,0)*'Instellingen'!$B$19)</x:f>
        <x:v>515</x:v>
      </x:c>
      <x:c r="M38"/>
      <x:c r="N38" t="n">
        <x:f>IF(L38="","",MAX('Instellingen'!$B$16,MIN('Instellingen'!$B$17,L38+IF(M38="",0,M38))))</x:f>
        <x:v>515</x:v>
      </x:c>
      <x:c r="O38" t="str">
        <x:f>IF(N38="","",IF(N38&gt;='Instellingen'!$B$22,"Absolute top",IF(N38&gt;='Instellingen'!$B$23,"Kopman",IF(N38&gt;='Instellingen'!$B$24,"Sterke keuze",IF(N38&gt;='Instellingen'!$B$25,"Bruikbaar","Gok")))))</x:f>
        <x:v>Gok</x:v>
      </x:c>
      <x:c r="P38" t="str">
        <x:f>IF(A38="","",IF(D38="","Rol invullen","Compleet"))</x:f>
        <x:v>Compleet</x:v>
      </x:c>
      <x:c r="Q38" t="str">
        <x:v>https://www.procyclingstats.com/rider/raul-garcia-pierna</x:v>
      </x:c>
    </x:row>
    <x:row r="39">
      <x:c r="A39" t="str">
        <x:v>CASTRILLO Pablo</x:v>
      </x:c>
      <x:c r="B39" t="str">
        <x:v>Movistar Team</x:v>
      </x:c>
      <x:c r="C39" t="str">
        <x:v>Ja</x:v>
      </x:c>
      <x:c r="D39" t="str">
        <x:v>Meesterknecht</x:v>
      </x:c>
      <x:c r="E39" t="n">
        <x:v>685</x:v>
      </x:c>
      <x:c r="F39" t="n">
        <x:v>72</x:v>
      </x:c>
      <x:c r="G39" t="n">
        <x:v>843</x:v>
      </x:c>
      <x:c r="H39" t="n">
        <x:v>399</x:v>
      </x:c>
      <x:c r="I39" t="n">
        <x:f>IF(D39="","",IFERROR(VLOOKUP(D39,'Instellingen'!$D$5:$E$13,2,FALSE),""))</x:f>
        <x:v>55</x:v>
      </x:c>
      <x:c r="J39" t="n">
        <x:f>IF(C39="","",IF(C39="Ja",100,0))</x:f>
        <x:v>100</x:v>
      </x:c>
      <x:c r="K39" t="n">
        <x:f>IF(D39="","",SUM(I39*'Instellingen'!$B$5,J39*'Instellingen'!$B$6,IFERROR(E39/MAX($E$6:$E$167)*100,0)*'Instellingen'!$B$7,IFERROR(F39/MAX($F$6:$F$167)*100,0)*'Instellingen'!$B$8,IFERROR(G39/MAX($G$6:$G$167)*100,0)*'Instellingen'!$B$9,IFERROR(H39/MAX($H$6:$H$167)*100,0)*'Instellingen'!$B$10)/SUM('Instellingen'!$B$5:$B$10))</x:f>
        <x:v>22.6404713706984</x:v>
      </x:c>
      <x:c r="L39" t="n">
        <x:f>IF(K39="","",ROUND(('Instellingen'!$B$16+('Instellingen'!$B$17-'Instellingen'!$B$16)*POWER(K39/100,'Instellingen'!$B$18))/'Instellingen'!$B$19,0)*'Instellingen'!$B$19)</x:f>
        <x:v>596</x:v>
      </x:c>
      <x:c r="M39"/>
      <x:c r="N39" t="n">
        <x:f>IF(L39="","",MAX('Instellingen'!$B$16,MIN('Instellingen'!$B$17,L39+IF(M39="",0,M39))))</x:f>
        <x:v>596</x:v>
      </x:c>
      <x:c r="O39" t="str">
        <x:f>IF(N39="","",IF(N39&gt;='Instellingen'!$B$22,"Absolute top",IF(N39&gt;='Instellingen'!$B$23,"Kopman",IF(N39&gt;='Instellingen'!$B$24,"Sterke keuze",IF(N39&gt;='Instellingen'!$B$25,"Bruikbaar","Gok")))))</x:f>
        <x:v>Gok</x:v>
      </x:c>
      <x:c r="P39" t="str">
        <x:f>IF(A39="","",IF(D39="","Rol invullen","Compleet"))</x:f>
        <x:v>Compleet</x:v>
      </x:c>
      <x:c r="Q39" t="str">
        <x:v>https://www.procyclingstats.com/rider/pablo-castrillo-zapater</x:v>
      </x:c>
    </x:row>
    <x:row r="40">
      <x:c r="A40" t="str">
        <x:v>ARCAS Jorge</x:v>
      </x:c>
      <x:c r="B40" t="str">
        <x:v>Movistar Team</x:v>
      </x:c>
      <x:c r="C40" t="str">
        <x:v>Nee</x:v>
      </x:c>
      <x:c r="D40" t="str">
        <x:v>Knecht</x:v>
      </x:c>
      <x:c r="E40" t="n">
        <x:v>285</x:v>
      </x:c>
      <x:c r="F40" t="n">
        <x:v>188</x:v>
      </x:c>
      <x:c r="G40" t="n">
        <x:v>86</x:v>
      </x:c>
      <x:c r="H40" t="n">
        <x:v>49</x:v>
      </x:c>
      <x:c r="I40" t="n">
        <x:f>IF(D40="","",IFERROR(VLOOKUP(D40,'Instellingen'!$D$5:$E$13,2,FALSE),""))</x:f>
        <x:v>30</x:v>
      </x:c>
      <x:c r="J40" t="n">
        <x:f>IF(C40="","",IF(C40="Ja",100,0))</x:f>
        <x:v>0</x:v>
      </x:c>
      <x:c r="K40" t="n">
        <x:f>IF(D40="","",SUM(I40*'Instellingen'!$B$5,J40*'Instellingen'!$B$6,IFERROR(E40/MAX($E$6:$E$167)*100,0)*'Instellingen'!$B$7,IFERROR(F40/MAX($F$6:$F$167)*100,0)*'Instellingen'!$B$8,IFERROR(G40/MAX($G$6:$G$167)*100,0)*'Instellingen'!$B$9,IFERROR(H40/MAX($H$6:$H$167)*100,0)*'Instellingen'!$B$10)/SUM('Instellingen'!$B$5:$B$10))</x:f>
        <x:v>6.14784934321599</x:v>
      </x:c>
      <x:c r="L40" t="n">
        <x:f>IF(K40="","",ROUND(('Instellingen'!$B$16+('Instellingen'!$B$17-'Instellingen'!$B$16)*POWER(K40/100,'Instellingen'!$B$18))/'Instellingen'!$B$19,0)*'Instellingen'!$B$19)</x:f>
        <x:v>351</x:v>
      </x:c>
      <x:c r="M40"/>
      <x:c r="N40" t="n">
        <x:f>IF(L40="","",MAX('Instellingen'!$B$16,MIN('Instellingen'!$B$17,L40+IF(M40="",0,M40))))</x:f>
        <x:v>351</x:v>
      </x:c>
      <x:c r="O40" t="str">
        <x:f>IF(N40="","",IF(N40&gt;='Instellingen'!$B$22,"Absolute top",IF(N40&gt;='Instellingen'!$B$23,"Kopman",IF(N40&gt;='Instellingen'!$B$24,"Sterke keuze",IF(N40&gt;='Instellingen'!$B$25,"Bruikbaar","Gok")))))</x:f>
        <x:v>Gok</x:v>
      </x:c>
      <x:c r="P40" t="str">
        <x:f>IF(A40="","",IF(D40="","Rol invullen","Compleet"))</x:f>
        <x:v>Compleet</x:v>
      </x:c>
      <x:c r="Q40" t="str">
        <x:v>https://www.procyclingstats.com/rider/jorge-arcas</x:v>
      </x:c>
    </x:row>
    <x:row r="41">
      <x:c r="A41" t="str">
        <x:v>HIRT Jan</x:v>
      </x:c>
      <x:c r="B41" t="str">
        <x:v>NSN Cycling Team</x:v>
      </x:c>
      <x:c r="C41" t="str">
        <x:v>Nee</x:v>
      </x:c>
      <x:c r="D41" t="str">
        <x:v>Kopman AK</x:v>
      </x:c>
      <x:c r="E41" t="n">
        <x:v>2015</x:v>
      </x:c>
      <x:c r="F41" t="n">
        <x:v>258</x:v>
      </x:c>
      <x:c r="G41" t="n">
        <x:v>1812</x:v>
      </x:c>
      <x:c r="H41" t="n">
        <x:v>30</x:v>
      </x:c>
      <x:c r="I41" t="n">
        <x:f>IF(D41="","",IFERROR(VLOOKUP(D41,'Instellingen'!$D$5:$E$13,2,FALSE),""))</x:f>
        <x:v>100</x:v>
      </x:c>
      <x:c r="J41" t="n">
        <x:f>IF(C41="","",IF(C41="Ja",100,0))</x:f>
        <x:v>0</x:v>
      </x:c>
      <x:c r="K41" t="n">
        <x:f>IF(D41="","",SUM(I41*'Instellingen'!$B$5,J41*'Instellingen'!$B$6,IFERROR(E41/MAX($E$6:$E$167)*100,0)*'Instellingen'!$B$7,IFERROR(F41/MAX($F$6:$F$167)*100,0)*'Instellingen'!$B$8,IFERROR(G41/MAX($G$6:$G$167)*100,0)*'Instellingen'!$B$9,IFERROR(H41/MAX($H$6:$H$167)*100,0)*'Instellingen'!$B$10)/SUM('Instellingen'!$B$5:$B$10))</x:f>
        <x:v>26.177540202538776</x:v>
      </x:c>
      <x:c r="L41" t="n">
        <x:f>IF(K41="","",ROUND(('Instellingen'!$B$16+('Instellingen'!$B$17-'Instellingen'!$B$16)*POWER(K41/100,'Instellingen'!$B$18))/'Instellingen'!$B$19,0)*'Instellingen'!$B$19)</x:f>
        <x:v>660</x:v>
      </x:c>
      <x:c r="M41"/>
      <x:c r="N41" t="n">
        <x:f>IF(L41="","",MAX('Instellingen'!$B$16,MIN('Instellingen'!$B$17,L41+IF(M41="",0,M41))))</x:f>
        <x:v>660</x:v>
      </x:c>
      <x:c r="O41" t="str">
        <x:f>IF(N41="","",IF(N41&gt;='Instellingen'!$B$22,"Absolute top",IF(N41&gt;='Instellingen'!$B$23,"Kopman",IF(N41&gt;='Instellingen'!$B$24,"Sterke keuze",IF(N41&gt;='Instellingen'!$B$25,"Bruikbaar","Gok")))))</x:f>
        <x:v>Gok</x:v>
      </x:c>
      <x:c r="P41" t="str">
        <x:f>IF(A41="","",IF(D41="","Rol invullen","Compleet"))</x:f>
        <x:v>Compleet</x:v>
      </x:c>
      <x:c r="Q41" t="str">
        <x:v>https://www.procyclingstats.com/rider/jan-hirt</x:v>
      </x:c>
    </x:row>
    <x:row r="42">
      <x:c r="A42" t="str">
        <x:v>LUTSENKO Alexey</x:v>
      </x:c>
      <x:c r="B42" t="str">
        <x:v>NSN Cycling Team</x:v>
      </x:c>
      <x:c r="C42" t="str">
        <x:v>Nee</x:v>
      </x:c>
      <x:c r="D42" t="str">
        <x:v>Kopman AK</x:v>
      </x:c>
      <x:c r="E42" t="n">
        <x:v>3241</x:v>
      </x:c>
      <x:c r="F42" t="n">
        <x:v>2775</x:v>
      </x:c>
      <x:c r="G42" t="n">
        <x:v>2750</x:v>
      </x:c>
      <x:c r="H42" t="n">
        <x:v>1121</x:v>
      </x:c>
      <x:c r="I42" t="n">
        <x:f>IF(D42="","",IFERROR(VLOOKUP(D42,'Instellingen'!$D$5:$E$13,2,FALSE),""))</x:f>
        <x:v>100</x:v>
      </x:c>
      <x:c r="J42" t="n">
        <x:f>IF(C42="","",IF(C42="Ja",100,0))</x:f>
        <x:v>0</x:v>
      </x:c>
      <x:c r="K42" t="n">
        <x:f>IF(D42="","",SUM(I42*'Instellingen'!$B$5,J42*'Instellingen'!$B$6,IFERROR(E42/MAX($E$6:$E$167)*100,0)*'Instellingen'!$B$7,IFERROR(F42/MAX($F$6:$F$167)*100,0)*'Instellingen'!$B$8,IFERROR(G42/MAX($G$6:$G$167)*100,0)*'Instellingen'!$B$9,IFERROR(H42/MAX($H$6:$H$167)*100,0)*'Instellingen'!$B$10)/SUM('Instellingen'!$B$5:$B$10))</x:f>
        <x:v>37.745143846736994</x:v>
      </x:c>
      <x:c r="L42" t="n">
        <x:f>IF(K42="","",ROUND(('Instellingen'!$B$16+('Instellingen'!$B$17-'Instellingen'!$B$16)*POWER(K42/100,'Instellingen'!$B$18))/'Instellingen'!$B$19,0)*'Instellingen'!$B$19)</x:f>
        <x:v>890</x:v>
      </x:c>
      <x:c r="M42"/>
      <x:c r="N42" t="n">
        <x:f>IF(L42="","",MAX('Instellingen'!$B$16,MIN('Instellingen'!$B$17,L42+IF(M42="",0,M42))))</x:f>
        <x:v>890</x:v>
      </x:c>
      <x:c r="O42" t="str">
        <x:f>IF(N42="","",IF(N42&gt;='Instellingen'!$B$22,"Absolute top",IF(N42&gt;='Instellingen'!$B$23,"Kopman",IF(N42&gt;='Instellingen'!$B$24,"Sterke keuze",IF(N42&gt;='Instellingen'!$B$25,"Bruikbaar","Gok")))))</x:f>
        <x:v>Bruikbaar</x:v>
      </x:c>
      <x:c r="P42" t="str">
        <x:f>IF(A42="","",IF(D42="","Rol invullen","Compleet"))</x:f>
        <x:v>Compleet</x:v>
      </x:c>
      <x:c r="Q42" t="str">
        <x:v>https://www.procyclingstats.com/rider/aleksey-lutsenko</x:v>
      </x:c>
    </x:row>
    <x:row r="43">
      <x:c r="A43" t="str">
        <x:v>ROGLIČ Primož</x:v>
      </x:c>
      <x:c r="B43" t="str">
        <x:v>Red Bull - BORA - hansgrohe</x:v>
      </x:c>
      <x:c r="C43" t="str">
        <x:v>Nee</x:v>
      </x:c>
      <x:c r="D43" t="str">
        <x:v>Kopman AK</x:v>
      </x:c>
      <x:c r="E43" t="n">
        <x:v>8598</x:v>
      </x:c>
      <x:c r="F43" t="n">
        <x:v>2171</x:v>
      </x:c>
      <x:c r="G43" t="n">
        <x:v>8758</x:v>
      </x:c>
      <x:c r="H43" t="n">
        <x:v>6156</x:v>
      </x:c>
      <x:c r="I43" t="n">
        <x:f>IF(D43="","",IFERROR(VLOOKUP(D43,'Instellingen'!$D$5:$E$13,2,FALSE),""))</x:f>
        <x:v>100</x:v>
      </x:c>
      <x:c r="J43" t="n">
        <x:f>IF(C43="","",IF(C43="Ja",100,0))</x:f>
        <x:v>0</x:v>
      </x:c>
      <x:c r="K43" t="n">
        <x:f>IF(D43="","",SUM(I43*'Instellingen'!$B$5,J43*'Instellingen'!$B$6,IFERROR(E43/MAX($E$6:$E$167)*100,0)*'Instellingen'!$B$7,IFERROR(F43/MAX($F$6:$F$167)*100,0)*'Instellingen'!$B$8,IFERROR(G43/MAX($G$6:$G$167)*100,0)*'Instellingen'!$B$9,IFERROR(H43/MAX($H$6:$H$167)*100,0)*'Instellingen'!$B$10)/SUM('Instellingen'!$B$5:$B$10))</x:f>
        <x:v>70.72577625387804</x:v>
      </x:c>
      <x:c r="L43" t="n">
        <x:f>IF(K43="","",ROUND(('Instellingen'!$B$16+('Instellingen'!$B$17-'Instellingen'!$B$16)*POWER(K43/100,'Instellingen'!$B$18))/'Instellingen'!$B$19,0)*'Instellingen'!$B$19)</x:f>
        <x:v>1678</x:v>
      </x:c>
      <x:c r="M43"/>
      <x:c r="N43" t="n">
        <x:f>IF(L43="","",MAX('Instellingen'!$B$16,MIN('Instellingen'!$B$17,L43+IF(M43="",0,M43))))</x:f>
        <x:v>1678</x:v>
      </x:c>
      <x:c r="O43" t="str">
        <x:f>IF(N43="","",IF(N43&gt;='Instellingen'!$B$22,"Absolute top",IF(N43&gt;='Instellingen'!$B$23,"Kopman",IF(N43&gt;='Instellingen'!$B$24,"Sterke keuze",IF(N43&gt;='Instellingen'!$B$25,"Bruikbaar","Gok")))))</x:f>
        <x:v>Kopman</x:v>
      </x:c>
      <x:c r="P43" t="str">
        <x:f>IF(A43="","",IF(D43="","Rol invullen","Compleet"))</x:f>
        <x:v>Compleet</x:v>
      </x:c>
      <x:c r="Q43" t="str">
        <x:v>https://www.procyclingstats.com/rider/primoz-roglic</x:v>
      </x:c>
    </x:row>
    <x:row r="44">
      <x:c r="A44" t="str">
        <x:v>VERMEERSCH Gianni</x:v>
      </x:c>
      <x:c r="B44" t="str">
        <x:v>Red Bull - BORA - hansgrohe</x:v>
      </x:c>
      <x:c r="C44" t="str">
        <x:v>Nee</x:v>
      </x:c>
      <x:c r="D44" t="str">
        <x:v>Kopman punten</x:v>
      </x:c>
      <x:c r="E44" t="n">
        <x:v>303</x:v>
      </x:c>
      <x:c r="F44" t="n">
        <x:v>3027</x:v>
      </x:c>
      <x:c r="G44" t="n">
        <x:v>334</x:v>
      </x:c>
      <x:c r="H44" t="n">
        <x:v>55</x:v>
      </x:c>
      <x:c r="I44" t="n">
        <x:f>IF(D44="","",IFERROR(VLOOKUP(D44,'Instellingen'!$D$5:$E$13,2,FALSE),""))</x:f>
        <x:v>90</x:v>
      </x:c>
      <x:c r="J44" t="n">
        <x:f>IF(C44="","",IF(C44="Ja",100,0))</x:f>
        <x:v>0</x:v>
      </x:c>
      <x:c r="K44" t="n">
        <x:f>IF(D44="","",SUM(I44*'Instellingen'!$B$5,J44*'Instellingen'!$B$6,IFERROR(E44/MAX($E$6:$E$167)*100,0)*'Instellingen'!$B$7,IFERROR(F44/MAX($F$6:$F$167)*100,0)*'Instellingen'!$B$8,IFERROR(G44/MAX($G$6:$G$167)*100,0)*'Instellingen'!$B$9,IFERROR(H44/MAX($H$6:$H$167)*100,0)*'Instellingen'!$B$10)/SUM('Instellingen'!$B$5:$B$10))</x:f>
        <x:v>20.561087931572562</x:v>
      </x:c>
      <x:c r="L44" t="n">
        <x:f>IF(K44="","",ROUND(('Instellingen'!$B$16+('Instellingen'!$B$17-'Instellingen'!$B$16)*POWER(K44/100,'Instellingen'!$B$18))/'Instellingen'!$B$19,0)*'Instellingen'!$B$19)</x:f>
        <x:v>560</x:v>
      </x:c>
      <x:c r="M44"/>
      <x:c r="N44" t="n">
        <x:f>IF(L44="","",MAX('Instellingen'!$B$16,MIN('Instellingen'!$B$17,L44+IF(M44="",0,M44))))</x:f>
        <x:v>560</x:v>
      </x:c>
      <x:c r="O44" t="str">
        <x:f>IF(N44="","",IF(N44&gt;='Instellingen'!$B$22,"Absolute top",IF(N44&gt;='Instellingen'!$B$23,"Kopman",IF(N44&gt;='Instellingen'!$B$24,"Sterke keuze",IF(N44&gt;='Instellingen'!$B$25,"Bruikbaar","Gok")))))</x:f>
        <x:v>Gok</x:v>
      </x:c>
      <x:c r="P44" t="str">
        <x:f>IF(A44="","",IF(D44="","Rol invullen","Compleet"))</x:f>
        <x:v>Compleet</x:v>
      </x:c>
      <x:c r="Q44" t="str">
        <x:v>https://www.procyclingstats.com/rider/gianni-vermeersch</x:v>
      </x:c>
    </x:row>
    <x:row r="45">
      <x:c r="A45" t="str">
        <x:v>TUCKWELL Luke</x:v>
      </x:c>
      <x:c r="B45" t="str">
        <x:v>Red Bull - BORA - hansgrohe</x:v>
      </x:c>
      <x:c r="C45" t="str">
        <x:v>Ja</x:v>
      </x:c>
      <x:c r="D45" t="str">
        <x:v>Knecht</x:v>
      </x:c>
      <x:c r="E45" t="n">
        <x:v>340</x:v>
      </x:c>
      <x:c r="F45" t="n">
        <x:v>9</x:v>
      </x:c>
      <x:c r="G45" t="n">
        <x:v>238</x:v>
      </x:c>
      <x:c r="H45" t="n">
        <x:v>12</x:v>
      </x:c>
      <x:c r="I45" t="n">
        <x:f>IF(D45="","",IFERROR(VLOOKUP(D45,'Instellingen'!$D$5:$E$13,2,FALSE),""))</x:f>
        <x:v>30</x:v>
      </x:c>
      <x:c r="J45" t="n">
        <x:f>IF(C45="","",IF(C45="Ja",100,0))</x:f>
        <x:v>100</x:v>
      </x:c>
      <x:c r="K45" t="n">
        <x:f>IF(D45="","",SUM(I45*'Instellingen'!$B$5,J45*'Instellingen'!$B$6,IFERROR(E45/MAX($E$6:$E$167)*100,0)*'Instellingen'!$B$7,IFERROR(F45/MAX($F$6:$F$167)*100,0)*'Instellingen'!$B$8,IFERROR(G45/MAX($G$6:$G$167)*100,0)*'Instellingen'!$B$9,IFERROR(H45/MAX($H$6:$H$167)*100,0)*'Instellingen'!$B$10)/SUM('Instellingen'!$B$5:$B$10))</x:f>
        <x:v>16.237362307656394</x:v>
      </x:c>
      <x:c r="L45" t="n">
        <x:f>IF(K45="","",ROUND(('Instellingen'!$B$16+('Instellingen'!$B$17-'Instellingen'!$B$16)*POWER(K45/100,'Instellingen'!$B$18))/'Instellingen'!$B$19,0)*'Instellingen'!$B$19)</x:f>
        <x:v>489</x:v>
      </x:c>
      <x:c r="M45"/>
      <x:c r="N45" t="n">
        <x:f>IF(L45="","",MAX('Instellingen'!$B$16,MIN('Instellingen'!$B$17,L45+IF(M45="",0,M45))))</x:f>
        <x:v>489</x:v>
      </x:c>
      <x:c r="O45" t="str">
        <x:f>IF(N45="","",IF(N45&gt;='Instellingen'!$B$22,"Absolute top",IF(N45&gt;='Instellingen'!$B$23,"Kopman",IF(N45&gt;='Instellingen'!$B$24,"Sterke keuze",IF(N45&gt;='Instellingen'!$B$25,"Bruikbaar","Gok")))))</x:f>
        <x:v>Gok</x:v>
      </x:c>
      <x:c r="P45" t="str">
        <x:f>IF(A45="","",IF(D45="","Rol invullen","Compleet"))</x:f>
        <x:v>Compleet</x:v>
      </x:c>
      <x:c r="Q45" t="str">
        <x:v>https://www.procyclingstats.com/rider/luke-tuckwell</x:v>
      </x:c>
    </x:row>
    <x:row r="46">
      <x:c r="A46" t="str">
        <x:v>HAYTER Ethan</x:v>
      </x:c>
      <x:c r="B46" t="str">
        <x:v>Soudal Quick-Step</x:v>
      </x:c>
      <x:c r="C46" t="str">
        <x:v>Nee</x:v>
      </x:c>
      <x:c r="D46" t="str">
        <x:v>Vrijbuiter</x:v>
      </x:c>
      <x:c r="E46" t="n">
        <x:v>1460</x:v>
      </x:c>
      <x:c r="F46" t="n">
        <x:v>980</x:v>
      </x:c>
      <x:c r="G46" t="n">
        <x:v>714</x:v>
      </x:c>
      <x:c r="H46" t="n">
        <x:v>2047</x:v>
      </x:c>
      <x:c r="I46" t="n">
        <x:f>IF(D46="","",IFERROR(VLOOKUP(D46,'Instellingen'!$D$5:$E$13,2,FALSE),""))</x:f>
        <x:v>65</x:v>
      </x:c>
      <x:c r="J46" t="n">
        <x:f>IF(C46="","",IF(C46="Ja",100,0))</x:f>
        <x:v>0</x:v>
      </x:c>
      <x:c r="K46" t="n">
        <x:f>IF(D46="","",SUM(I46*'Instellingen'!$B$5,J46*'Instellingen'!$B$6,IFERROR(E46/MAX($E$6:$E$167)*100,0)*'Instellingen'!$B$7,IFERROR(F46/MAX($F$6:$F$167)*100,0)*'Instellingen'!$B$8,IFERROR(G46/MAX($G$6:$G$167)*100,0)*'Instellingen'!$B$9,IFERROR(H46/MAX($H$6:$H$167)*100,0)*'Instellingen'!$B$10)/SUM('Instellingen'!$B$5:$B$10))</x:f>
        <x:v>20.008879724779643</x:v>
      </x:c>
      <x:c r="L46" t="n">
        <x:f>IF(K46="","",ROUND(('Instellingen'!$B$16+('Instellingen'!$B$17-'Instellingen'!$B$16)*POWER(K46/100,'Instellingen'!$B$18))/'Instellingen'!$B$19,0)*'Instellingen'!$B$19)</x:f>
        <x:v>551</x:v>
      </x:c>
      <x:c r="M46"/>
      <x:c r="N46" t="n">
        <x:f>IF(L46="","",MAX('Instellingen'!$B$16,MIN('Instellingen'!$B$17,L46+IF(M46="",0,M46))))</x:f>
        <x:v>551</x:v>
      </x:c>
      <x:c r="O46" t="str">
        <x:f>IF(N46="","",IF(N46&gt;='Instellingen'!$B$22,"Absolute top",IF(N46&gt;='Instellingen'!$B$23,"Kopman",IF(N46&gt;='Instellingen'!$B$24,"Sterke keuze",IF(N46&gt;='Instellingen'!$B$25,"Bruikbaar","Gok")))))</x:f>
        <x:v>Gok</x:v>
      </x:c>
      <x:c r="P46" t="str">
        <x:f>IF(A46="","",IF(D46="","Rol invullen","Compleet"))</x:f>
        <x:v>Compleet</x:v>
      </x:c>
      <x:c r="Q46" t="str">
        <x:v>https://www.procyclingstats.com/rider/ethan-hayter</x:v>
      </x:c>
    </x:row>
    <x:row r="47">
      <x:c r="A47" t="str">
        <x:v>ZANA Filippo</x:v>
      </x:c>
      <x:c r="B47" t="str">
        <x:v>Soudal Quick-Step</x:v>
      </x:c>
      <x:c r="C47" t="str">
        <x:v>Nee</x:v>
      </x:c>
      <x:c r="D47" t="str">
        <x:v>Meesterknecht</x:v>
      </x:c>
      <x:c r="E47" t="n">
        <x:v>1347</x:v>
      </x:c>
      <x:c r="F47" t="n">
        <x:v>771</x:v>
      </x:c>
      <x:c r="G47" t="n">
        <x:v>1285</x:v>
      </x:c>
      <x:c r="H47" t="n">
        <x:v>73</x:v>
      </x:c>
      <x:c r="I47" t="n">
        <x:f>IF(D47="","",IFERROR(VLOOKUP(D47,'Instellingen'!$D$5:$E$13,2,FALSE),""))</x:f>
        <x:v>55</x:v>
      </x:c>
      <x:c r="J47" t="n">
        <x:f>IF(C47="","",IF(C47="Ja",100,0))</x:f>
        <x:v>0</x:v>
      </x:c>
      <x:c r="K47" t="n">
        <x:f>IF(D47="","",SUM(I47*'Instellingen'!$B$5,J47*'Instellingen'!$B$6,IFERROR(E47/MAX($E$6:$E$167)*100,0)*'Instellingen'!$B$7,IFERROR(F47/MAX($F$6:$F$167)*100,0)*'Instellingen'!$B$8,IFERROR(G47/MAX($G$6:$G$167)*100,0)*'Instellingen'!$B$9,IFERROR(H47/MAX($H$6:$H$167)*100,0)*'Instellingen'!$B$10)/SUM('Instellingen'!$B$5:$B$10))</x:f>
        <x:v>16.917942688010015</x:v>
      </x:c>
      <x:c r="L47" t="n">
        <x:f>IF(K47="","",ROUND(('Instellingen'!$B$16+('Instellingen'!$B$17-'Instellingen'!$B$16)*POWER(K47/100,'Instellingen'!$B$18))/'Instellingen'!$B$19,0)*'Instellingen'!$B$19)</x:f>
        <x:v>500</x:v>
      </x:c>
      <x:c r="M47"/>
      <x:c r="N47" t="n">
        <x:f>IF(L47="","",MAX('Instellingen'!$B$16,MIN('Instellingen'!$B$17,L47+IF(M47="",0,M47))))</x:f>
        <x:v>500</x:v>
      </x:c>
      <x:c r="O47" t="str">
        <x:f>IF(N47="","",IF(N47&gt;='Instellingen'!$B$22,"Absolute top",IF(N47&gt;='Instellingen'!$B$23,"Kopman",IF(N47&gt;='Instellingen'!$B$24,"Sterke keuze",IF(N47&gt;='Instellingen'!$B$25,"Bruikbaar","Gok")))))</x:f>
        <x:v>Gok</x:v>
      </x:c>
      <x:c r="P47" t="str">
        <x:f>IF(A47="","",IF(D47="","Rol invullen","Compleet"))</x:f>
        <x:v>Compleet</x:v>
      </x:c>
      <x:c r="Q47" t="str">
        <x:v>https://www.procyclingstats.com/rider/filippo-zana</x:v>
      </x:c>
    </x:row>
    <x:row r="48">
      <x:c r="A48" t="str">
        <x:v>CRAS Steff</x:v>
      </x:c>
      <x:c r="B48" t="str">
        <x:v>Soudal Quick-Step</x:v>
      </x:c>
      <x:c r="C48" t="str">
        <x:v>Nee</x:v>
      </x:c>
      <x:c r="D48" t="str">
        <x:v>Meesterknecht</x:v>
      </x:c>
      <x:c r="E48" t="n">
        <x:v>1086</x:v>
      </x:c>
      <x:c r="F48" t="n">
        <x:v>343</x:v>
      </x:c>
      <x:c r="G48" t="n">
        <x:v>982</x:v>
      </x:c>
      <x:c r="H48" t="n">
        <x:v>82</x:v>
      </x:c>
      <x:c r="I48" t="n">
        <x:f>IF(D48="","",IFERROR(VLOOKUP(D48,'Instellingen'!$D$5:$E$13,2,FALSE),""))</x:f>
        <x:v>55</x:v>
      </x:c>
      <x:c r="J48" t="n">
        <x:f>IF(C48="","",IF(C48="Ja",100,0))</x:f>
        <x:v>0</x:v>
      </x:c>
      <x:c r="K48" t="n">
        <x:f>IF(D48="","",SUM(I48*'Instellingen'!$B$5,J48*'Instellingen'!$B$6,IFERROR(E48/MAX($E$6:$E$167)*100,0)*'Instellingen'!$B$7,IFERROR(F48/MAX($F$6:$F$167)*100,0)*'Instellingen'!$B$8,IFERROR(G48/MAX($G$6:$G$167)*100,0)*'Instellingen'!$B$9,IFERROR(H48/MAX($H$6:$H$167)*100,0)*'Instellingen'!$B$10)/SUM('Instellingen'!$B$5:$B$10))</x:f>
        <x:v>14.69210072071017</x:v>
      </x:c>
      <x:c r="L48" t="n">
        <x:f>IF(K48="","",ROUND(('Instellingen'!$B$16+('Instellingen'!$B$17-'Instellingen'!$B$16)*POWER(K48/100,'Instellingen'!$B$18))/'Instellingen'!$B$19,0)*'Instellingen'!$B$19)</x:f>
        <x:v>465</x:v>
      </x:c>
      <x:c r="M48"/>
      <x:c r="N48" t="n">
        <x:f>IF(L48="","",MAX('Instellingen'!$B$16,MIN('Instellingen'!$B$17,L48+IF(M48="",0,M48))))</x:f>
        <x:v>465</x:v>
      </x:c>
      <x:c r="O48" t="str">
        <x:f>IF(N48="","",IF(N48&gt;='Instellingen'!$B$22,"Absolute top",IF(N48&gt;='Instellingen'!$B$23,"Kopman",IF(N48&gt;='Instellingen'!$B$24,"Sterke keuze",IF(N48&gt;='Instellingen'!$B$25,"Bruikbaar","Gok")))))</x:f>
        <x:v>Gok</x:v>
      </x:c>
      <x:c r="P48" t="str">
        <x:f>IF(A48="","",IF(D48="","Rol invullen","Compleet"))</x:f>
        <x:v>Compleet</x:v>
      </x:c>
      <x:c r="Q48" t="str">
        <x:v>https://www.procyclingstats.com/rider/steff-cras</x:v>
      </x:c>
    </x:row>
    <x:row r="49">
      <x:c r="A49" t="str">
        <x:v>DAINESE Alberto</x:v>
      </x:c>
      <x:c r="B49" t="str">
        <x:v>Soudal Quick-Step</x:v>
      </x:c>
      <x:c r="C49" t="str">
        <x:v>Nee</x:v>
      </x:c>
      <x:c r="D49" t="str">
        <x:v>Sprinter</x:v>
      </x:c>
      <x:c r="E49" t="n">
        <x:v>264</x:v>
      </x:c>
      <x:c r="F49" t="n">
        <x:v>2884</x:v>
      </x:c>
      <x:c r="G49" t="n">
        <x:v>10</x:v>
      </x:c>
      <x:c r="H49" t="n">
        <x:v>7</x:v>
      </x:c>
      <x:c r="I49" t="n">
        <x:f>IF(D49="","",IFERROR(VLOOKUP(D49,'Instellingen'!$D$5:$E$13,2,FALSE),""))</x:f>
        <x:v>80</x:v>
      </x:c>
      <x:c r="J49" t="n">
        <x:f>IF(C49="","",IF(C49="Ja",100,0))</x:f>
        <x:v>0</x:v>
      </x:c>
      <x:c r="K49" t="n">
        <x:f>IF(D49="","",SUM(I49*'Instellingen'!$B$5,J49*'Instellingen'!$B$6,IFERROR(E49/MAX($E$6:$E$167)*100,0)*'Instellingen'!$B$7,IFERROR(F49/MAX($F$6:$F$167)*100,0)*'Instellingen'!$B$8,IFERROR(G49/MAX($G$6:$G$167)*100,0)*'Instellingen'!$B$9,IFERROR(H49/MAX($H$6:$H$167)*100,0)*'Instellingen'!$B$10)/SUM('Instellingen'!$B$5:$B$10))</x:f>
        <x:v>18.16650370197111</x:v>
      </x:c>
      <x:c r="L49" t="n">
        <x:f>IF(K49="","",ROUND(('Instellingen'!$B$16+('Instellingen'!$B$17-'Instellingen'!$B$16)*POWER(K49/100,'Instellingen'!$B$18))/'Instellingen'!$B$19,0)*'Instellingen'!$B$19)</x:f>
        <x:v>520</x:v>
      </x:c>
      <x:c r="M49"/>
      <x:c r="N49" t="n">
        <x:f>IF(L49="","",MAX('Instellingen'!$B$16,MIN('Instellingen'!$B$17,L49+IF(M49="",0,M49))))</x:f>
        <x:v>520</x:v>
      </x:c>
      <x:c r="O49" t="str">
        <x:f>IF(N49="","",IF(N49&gt;='Instellingen'!$B$22,"Absolute top",IF(N49&gt;='Instellingen'!$B$23,"Kopman",IF(N49&gt;='Instellingen'!$B$24,"Sterke keuze",IF(N49&gt;='Instellingen'!$B$25,"Bruikbaar","Gok")))))</x:f>
        <x:v>Gok</x:v>
      </x:c>
      <x:c r="P49" t="str">
        <x:f>IF(A49="","",IF(D49="","Rol invullen","Compleet"))</x:f>
        <x:v>Compleet</x:v>
      </x:c>
      <x:c r="Q49" t="str">
        <x:v>https://www.procyclingstats.com/rider/alberto-dainese</x:v>
      </x:c>
    </x:row>
    <x:row r="50">
      <x:c r="A50" t="str">
        <x:v>LANDA Mikel</x:v>
      </x:c>
      <x:c r="B50" t="str">
        <x:v>Soudal Quick-Step</x:v>
      </x:c>
      <x:c r="C50" t="str">
        <x:v>Nee</x:v>
      </x:c>
      <x:c r="D50" t="str">
        <x:v>Kopman AK</x:v>
      </x:c>
      <x:c r="E50" t="n">
        <x:v>6488</x:v>
      </x:c>
      <x:c r="F50" t="n">
        <x:v>1144</x:v>
      </x:c>
      <x:c r="G50" t="n">
        <x:v>7257</x:v>
      </x:c>
      <x:c r="H50" t="n">
        <x:v>310</x:v>
      </x:c>
      <x:c r="I50" t="n">
        <x:f>IF(D50="","",IFERROR(VLOOKUP(D50,'Instellingen'!$D$5:$E$13,2,FALSE),""))</x:f>
        <x:v>100</x:v>
      </x:c>
      <x:c r="J50" t="n">
        <x:f>IF(C50="","",IF(C50="Ja",100,0))</x:f>
        <x:v>0</x:v>
      </x:c>
      <x:c r="K50" t="n">
        <x:f>IF(D50="","",SUM(I50*'Instellingen'!$B$5,J50*'Instellingen'!$B$6,IFERROR(E50/MAX($E$6:$E$167)*100,0)*'Instellingen'!$B$7,IFERROR(F50/MAX($F$6:$F$167)*100,0)*'Instellingen'!$B$8,IFERROR(G50/MAX($G$6:$G$167)*100,0)*'Instellingen'!$B$9,IFERROR(H50/MAX($H$6:$H$167)*100,0)*'Instellingen'!$B$10)/SUM('Instellingen'!$B$5:$B$10))</x:f>
        <x:v>53.669626656810166</x:v>
      </x:c>
      <x:c r="L50" t="n">
        <x:f>IF(K50="","",ROUND(('Instellingen'!$B$16+('Instellingen'!$B$17-'Instellingen'!$B$16)*POWER(K50/100,'Instellingen'!$B$18))/'Instellingen'!$B$19,0)*'Instellingen'!$B$19)</x:f>
        <x:v>1250</x:v>
      </x:c>
      <x:c r="M50"/>
      <x:c r="N50" t="n">
        <x:f>IF(L50="","",MAX('Instellingen'!$B$16,MIN('Instellingen'!$B$17,L50+IF(M50="",0,M50))))</x:f>
        <x:v>1250</x:v>
      </x:c>
      <x:c r="O50" t="str">
        <x:f>IF(N50="","",IF(N50&gt;='Instellingen'!$B$22,"Absolute top",IF(N50&gt;='Instellingen'!$B$23,"Kopman",IF(N50&gt;='Instellingen'!$B$24,"Sterke keuze",IF(N50&gt;='Instellingen'!$B$25,"Bruikbaar","Gok")))))</x:f>
        <x:v>Sterke keuze</x:v>
      </x:c>
      <x:c r="P50" t="str">
        <x:f>IF(A50="","",IF(D50="","Rol invullen","Compleet"))</x:f>
        <x:v>Compleet</x:v>
      </x:c>
      <x:c r="Q50" t="str">
        <x:v>https://www.procyclingstats.com/rider/mikel-landa</x:v>
      </x:c>
    </x:row>
    <x:row r="51">
      <x:c r="A51" t="str">
        <x:v>PARET-PEINTRE Valentin</x:v>
      </x:c>
      <x:c r="B51" t="str">
        <x:v>Soudal Quick-Step</x:v>
      </x:c>
      <x:c r="C51" t="str">
        <x:v>Ja</x:v>
      </x:c>
      <x:c r="D51" t="str">
        <x:v>Meesterknecht</x:v>
      </x:c>
      <x:c r="E51" t="n">
        <x:v>770</x:v>
      </x:c>
      <x:c r="F51" t="n">
        <x:v>138</x:v>
      </x:c>
      <x:c r="G51" t="n">
        <x:v>1078</x:v>
      </x:c>
      <x:c r="H51" t="n">
        <x:v>1</x:v>
      </x:c>
      <x:c r="I51" t="n">
        <x:f>IF(D51="","",IFERROR(VLOOKUP(D51,'Instellingen'!$D$5:$E$13,2,FALSE),""))</x:f>
        <x:v>55</x:v>
      </x:c>
      <x:c r="J51" t="n">
        <x:f>IF(C51="","",IF(C51="Ja",100,0))</x:f>
        <x:v>100</x:v>
      </x:c>
      <x:c r="K51" t="n">
        <x:f>IF(D51="","",SUM(I51*'Instellingen'!$B$5,J51*'Instellingen'!$B$6,IFERROR(E51/MAX($E$6:$E$167)*100,0)*'Instellingen'!$B$7,IFERROR(F51/MAX($F$6:$F$167)*100,0)*'Instellingen'!$B$8,IFERROR(G51/MAX($G$6:$G$167)*100,0)*'Instellingen'!$B$9,IFERROR(H51/MAX($H$6:$H$167)*100,0)*'Instellingen'!$B$10)/SUM('Instellingen'!$B$5:$B$10))</x:f>
        <x:v>23.113898094844124</x:v>
      </x:c>
      <x:c r="L51" t="n">
        <x:f>IF(K51="","",ROUND(('Instellingen'!$B$16+('Instellingen'!$B$17-'Instellingen'!$B$16)*POWER(K51/100,'Instellingen'!$B$18))/'Instellingen'!$B$19,0)*'Instellingen'!$B$19)</x:f>
        <x:v>605</x:v>
      </x:c>
      <x:c r="M51"/>
      <x:c r="N51" t="n">
        <x:f>IF(L51="","",MAX('Instellingen'!$B$16,MIN('Instellingen'!$B$17,L51+IF(M51="",0,M51))))</x:f>
        <x:v>605</x:v>
      </x:c>
      <x:c r="O51" t="str">
        <x:f>IF(N51="","",IF(N51&gt;='Instellingen'!$B$22,"Absolute top",IF(N51&gt;='Instellingen'!$B$23,"Kopman",IF(N51&gt;='Instellingen'!$B$24,"Sterke keuze",IF(N51&gt;='Instellingen'!$B$25,"Bruikbaar","Gok")))))</x:f>
        <x:v>Gok</x:v>
      </x:c>
      <x:c r="P51" t="str">
        <x:f>IF(A51="","",IF(D51="","Rol invullen","Compleet"))</x:f>
        <x:v>Compleet</x:v>
      </x:c>
      <x:c r="Q51" t="str">
        <x:v>https://www.procyclingstats.com/rider/valentin-paret-peintre</x:v>
      </x:c>
    </x:row>
    <x:row r="52">
      <x:c r="A52" t="str">
        <x:v>DOUBLE Paul</x:v>
      </x:c>
      <x:c r="B52" t="str">
        <x:v>Team Jayco AlUla</x:v>
      </x:c>
      <x:c r="C52" t="str">
        <x:v>Nee</x:v>
      </x:c>
      <x:c r="D52" t="str">
        <x:v>Meesterknecht</x:v>
      </x:c>
      <x:c r="E52" t="n">
        <x:v>1020</x:v>
      </x:c>
      <x:c r="F52" t="n">
        <x:v>134</x:v>
      </x:c>
      <x:c r="G52" t="n">
        <x:v>491</x:v>
      </x:c>
      <x:c r="H52" t="n">
        <x:v>4</x:v>
      </x:c>
      <x:c r="I52" t="n">
        <x:f>IF(D52="","",IFERROR(VLOOKUP(D52,'Instellingen'!$D$5:$E$13,2,FALSE),""))</x:f>
        <x:v>55</x:v>
      </x:c>
      <x:c r="J52" t="n">
        <x:f>IF(C52="","",IF(C52="Ja",100,0))</x:f>
        <x:v>0</x:v>
      </x:c>
      <x:c r="K52" t="n">
        <x:f>IF(D52="","",SUM(I52*'Instellingen'!$B$5,J52*'Instellingen'!$B$6,IFERROR(E52/MAX($E$6:$E$167)*100,0)*'Instellingen'!$B$7,IFERROR(F52/MAX($F$6:$F$167)*100,0)*'Instellingen'!$B$8,IFERROR(G52/MAX($G$6:$G$167)*100,0)*'Instellingen'!$B$9,IFERROR(H52/MAX($H$6:$H$167)*100,0)*'Instellingen'!$B$10)/SUM('Instellingen'!$B$5:$B$10))</x:f>
        <x:v>13.317763101069342</x:v>
      </x:c>
      <x:c r="L52" t="n">
        <x:f>IF(K52="","",ROUND(('Instellingen'!$B$16+('Instellingen'!$B$17-'Instellingen'!$B$16)*POWER(K52/100,'Instellingen'!$B$18))/'Instellingen'!$B$19,0)*'Instellingen'!$B$19)</x:f>
        <x:v>445</x:v>
      </x:c>
      <x:c r="M52"/>
      <x:c r="N52" t="n">
        <x:f>IF(L52="","",MAX('Instellingen'!$B$16,MIN('Instellingen'!$B$17,L52+IF(M52="",0,M52))))</x:f>
        <x:v>445</x:v>
      </x:c>
      <x:c r="O52" t="str">
        <x:f>IF(N52="","",IF(N52&gt;='Instellingen'!$B$22,"Absolute top",IF(N52&gt;='Instellingen'!$B$23,"Kopman",IF(N52&gt;='Instellingen'!$B$24,"Sterke keuze",IF(N52&gt;='Instellingen'!$B$25,"Bruikbaar","Gok")))))</x:f>
        <x:v>Gok</x:v>
      </x:c>
      <x:c r="P52" t="str">
        <x:f>IF(A52="","",IF(D52="","Rol invullen","Compleet"))</x:f>
        <x:v>Compleet</x:v>
      </x:c>
      <x:c r="Q52" t="str">
        <x:v>https://www.procyclingstats.com/rider/paul-double</x:v>
      </x:c>
    </x:row>
    <x:row r="53">
      <x:c r="A53" t="str">
        <x:v>PICKERING Finlay</x:v>
      </x:c>
      <x:c r="B53" t="str">
        <x:v>Team Jayco AlUla</x:v>
      </x:c>
      <x:c r="C53" t="str">
        <x:v>Ja</x:v>
      </x:c>
      <x:c r="D53" t="str">
        <x:v>Knecht</x:v>
      </x:c>
      <x:c r="E53" t="n">
        <x:v>200</x:v>
      </x:c>
      <x:c r="F53" t="n">
        <x:v>12</x:v>
      </x:c>
      <x:c r="G53" t="n">
        <x:v>274</x:v>
      </x:c>
      <x:c r="H53" t="n">
        <x:v>58</x:v>
      </x:c>
      <x:c r="I53" t="n">
        <x:f>IF(D53="","",IFERROR(VLOOKUP(D53,'Instellingen'!$D$5:$E$13,2,FALSE),""))</x:f>
        <x:v>30</x:v>
      </x:c>
      <x:c r="J53" t="n">
        <x:f>IF(C53="","",IF(C53="Ja",100,0))</x:f>
        <x:v>100</x:v>
      </x:c>
      <x:c r="K53" t="n">
        <x:f>IF(D53="","",SUM(I53*'Instellingen'!$B$5,J53*'Instellingen'!$B$6,IFERROR(E53/MAX($E$6:$E$167)*100,0)*'Instellingen'!$B$7,IFERROR(F53/MAX($F$6:$F$167)*100,0)*'Instellingen'!$B$8,IFERROR(G53/MAX($G$6:$G$167)*100,0)*'Instellingen'!$B$9,IFERROR(H53/MAX($H$6:$H$167)*100,0)*'Instellingen'!$B$10)/SUM('Instellingen'!$B$5:$B$10))</x:f>
        <x:v>15.75849158035443</x:v>
      </x:c>
      <x:c r="L53" t="n">
        <x:f>IF(K53="","",ROUND(('Instellingen'!$B$16+('Instellingen'!$B$17-'Instellingen'!$B$16)*POWER(K53/100,'Instellingen'!$B$18))/'Instellingen'!$B$19,0)*'Instellingen'!$B$19)</x:f>
        <x:v>482</x:v>
      </x:c>
      <x:c r="M53"/>
      <x:c r="N53" t="n">
        <x:f>IF(L53="","",MAX('Instellingen'!$B$16,MIN('Instellingen'!$B$17,L53+IF(M53="",0,M53))))</x:f>
        <x:v>482</x:v>
      </x:c>
      <x:c r="O53" t="str">
        <x:f>IF(N53="","",IF(N53&gt;='Instellingen'!$B$22,"Absolute top",IF(N53&gt;='Instellingen'!$B$23,"Kopman",IF(N53&gt;='Instellingen'!$B$24,"Sterke keuze",IF(N53&gt;='Instellingen'!$B$25,"Bruikbaar","Gok")))))</x:f>
        <x:v>Gok</x:v>
      </x:c>
      <x:c r="P53" t="str">
        <x:f>IF(A53="","",IF(D53="","Rol invullen","Compleet"))</x:f>
        <x:v>Compleet</x:v>
      </x:c>
      <x:c r="Q53" t="str">
        <x:v>https://www.procyclingstats.com/rider/finlay-pickering</x:v>
      </x:c>
    </x:row>
    <x:row r="54">
      <x:c r="A54" t="str">
        <x:v>COVI Alessandro</x:v>
      </x:c>
      <x:c r="B54" t="str">
        <x:v>Team Jayco AlUla</x:v>
      </x:c>
      <x:c r="C54" t="str">
        <x:v>Nee</x:v>
      </x:c>
      <x:c r="D54" t="str">
        <x:v>Sprinter</x:v>
      </x:c>
      <x:c r="E54" t="n">
        <x:v>366</x:v>
      </x:c>
      <x:c r="F54" t="n">
        <x:v>1098</x:v>
      </x:c>
      <x:c r="G54" t="n">
        <x:v>713</x:v>
      </x:c>
      <x:c r="H54" t="n">
        <x:v>6</x:v>
      </x:c>
      <x:c r="I54" t="n">
        <x:f>IF(D54="","",IFERROR(VLOOKUP(D54,'Instellingen'!$D$5:$E$13,2,FALSE),""))</x:f>
        <x:v>80</x:v>
      </x:c>
      <x:c r="J54" t="n">
        <x:f>IF(C54="","",IF(C54="Ja",100,0))</x:f>
        <x:v>0</x:v>
      </x:c>
      <x:c r="K54" t="n">
        <x:f>IF(D54="","",SUM(I54*'Instellingen'!$B$5,J54*'Instellingen'!$B$6,IFERROR(E54/MAX($E$6:$E$167)*100,0)*'Instellingen'!$B$7,IFERROR(F54/MAX($F$6:$F$167)*100,0)*'Instellingen'!$B$8,IFERROR(G54/MAX($G$6:$G$167)*100,0)*'Instellingen'!$B$9,IFERROR(H54/MAX($H$6:$H$167)*100,0)*'Instellingen'!$B$10)/SUM('Instellingen'!$B$5:$B$10))</x:f>
        <x:v>16.408638125880792</x:v>
      </x:c>
      <x:c r="L54" t="n">
        <x:f>IF(K54="","",ROUND(('Instellingen'!$B$16+('Instellingen'!$B$17-'Instellingen'!$B$16)*POWER(K54/100,'Instellingen'!$B$18))/'Instellingen'!$B$19,0)*'Instellingen'!$B$19)</x:f>
        <x:v>492</x:v>
      </x:c>
      <x:c r="M54"/>
      <x:c r="N54" t="n">
        <x:f>IF(L54="","",MAX('Instellingen'!$B$16,MIN('Instellingen'!$B$17,L54+IF(M54="",0,M54))))</x:f>
        <x:v>492</x:v>
      </x:c>
      <x:c r="O54" t="str">
        <x:f>IF(N54="","",IF(N54&gt;='Instellingen'!$B$22,"Absolute top",IF(N54&gt;='Instellingen'!$B$23,"Kopman",IF(N54&gt;='Instellingen'!$B$24,"Sterke keuze",IF(N54&gt;='Instellingen'!$B$25,"Bruikbaar","Gok")))))</x:f>
        <x:v>Gok</x:v>
      </x:c>
      <x:c r="P54" t="str">
        <x:f>IF(A54="","",IF(D54="","Rol invullen","Compleet"))</x:f>
        <x:v>Compleet</x:v>
      </x:c>
      <x:c r="Q54" t="str">
        <x:v>https://www.procyclingstats.com/rider/alessandro-covi</x:v>
      </x:c>
    </x:row>
    <x:row r="55">
      <x:c r="A55" t="str">
        <x:v>HELLEMOSE Asbjørn</x:v>
      </x:c>
      <x:c r="B55" t="str">
        <x:v>Team Jayco AlUla</x:v>
      </x:c>
      <x:c r="C55" t="str">
        <x:v>Nee</x:v>
      </x:c>
      <x:c r="D55" t="str">
        <x:v>Knecht</x:v>
      </x:c>
      <x:c r="E55" t="n">
        <x:v>162</x:v>
      </x:c>
      <x:c r="F55" t="n">
        <x:v>64</x:v>
      </x:c>
      <x:c r="G55" t="n">
        <x:v>112</x:v>
      </x:c>
      <x:c r="H55" t="n">
        <x:v>0</x:v>
      </x:c>
      <x:c r="I55" t="n">
        <x:f>IF(D55="","",IFERROR(VLOOKUP(D55,'Instellingen'!$D$5:$E$13,2,FALSE),""))</x:f>
        <x:v>30</x:v>
      </x:c>
      <x:c r="J55" t="n">
        <x:f>IF(C55="","",IF(C55="Ja",100,0))</x:f>
        <x:v>0</x:v>
      </x:c>
      <x:c r="K55" t="n">
        <x:f>IF(D55="","",SUM(I55*'Instellingen'!$B$5,J55*'Instellingen'!$B$6,IFERROR(E55/MAX($E$6:$E$167)*100,0)*'Instellingen'!$B$7,IFERROR(F55/MAX($F$6:$F$167)*100,0)*'Instellingen'!$B$8,IFERROR(G55/MAX($G$6:$G$167)*100,0)*'Instellingen'!$B$9,IFERROR(H55/MAX($H$6:$H$167)*100,0)*'Instellingen'!$B$10)/SUM('Instellingen'!$B$5:$B$10))</x:f>
        <x:v>5.426406129323607</x:v>
      </x:c>
      <x:c r="L55" t="n">
        <x:f>IF(K55="","",ROUND(('Instellingen'!$B$16+('Instellingen'!$B$17-'Instellingen'!$B$16)*POWER(K55/100,'Instellingen'!$B$18))/'Instellingen'!$B$19,0)*'Instellingen'!$B$19)</x:f>
        <x:v>343</x:v>
      </x:c>
      <x:c r="M55"/>
      <x:c r="N55" t="n">
        <x:f>IF(L55="","",MAX('Instellingen'!$B$16,MIN('Instellingen'!$B$17,L55+IF(M55="",0,M55))))</x:f>
        <x:v>343</x:v>
      </x:c>
      <x:c r="O55" t="str">
        <x:f>IF(N55="","",IF(N55&gt;='Instellingen'!$B$22,"Absolute top",IF(N55&gt;='Instellingen'!$B$23,"Kopman",IF(N55&gt;='Instellingen'!$B$24,"Sterke keuze",IF(N55&gt;='Instellingen'!$B$25,"Bruikbaar","Gok")))))</x:f>
        <x:v>Gok</x:v>
      </x:c>
      <x:c r="P55" t="str">
        <x:f>IF(A55="","",IF(D55="","Rol invullen","Compleet"))</x:f>
        <x:v>Compleet</x:v>
      </x:c>
      <x:c r="Q55" t="str">
        <x:v>https://www.procyclingstats.com/rider/asbjorn-hellemose</x:v>
      </x:c>
    </x:row>
    <x:row r="56">
      <x:c r="A56" t="str">
        <x:v>SÜTTERLIN Jasha</x:v>
      </x:c>
      <x:c r="B56" t="str">
        <x:v>Team Jayco AlUla</x:v>
      </x:c>
      <x:c r="C56" t="str">
        <x:v>Nee</x:v>
      </x:c>
      <x:c r="D56" t="str">
        <x:v>Meesterknecht</x:v>
      </x:c>
      <x:c r="E56" t="n">
        <x:v>755</x:v>
      </x:c>
      <x:c r="F56" t="n">
        <x:v>514</x:v>
      </x:c>
      <x:c r="G56" t="n">
        <x:v>96</x:v>
      </x:c>
      <x:c r="H56" t="n">
        <x:v>1158</x:v>
      </x:c>
      <x:c r="I56" t="n">
        <x:f>IF(D56="","",IFERROR(VLOOKUP(D56,'Instellingen'!$D$5:$E$13,2,FALSE),""))</x:f>
        <x:v>55</x:v>
      </x:c>
      <x:c r="J56" t="n">
        <x:f>IF(C56="","",IF(C56="Ja",100,0))</x:f>
        <x:v>0</x:v>
      </x:c>
      <x:c r="K56" t="n">
        <x:f>IF(D56="","",SUM(I56*'Instellingen'!$B$5,J56*'Instellingen'!$B$6,IFERROR(E56/MAX($E$6:$E$167)*100,0)*'Instellingen'!$B$7,IFERROR(F56/MAX($F$6:$F$167)*100,0)*'Instellingen'!$B$8,IFERROR(G56/MAX($G$6:$G$167)*100,0)*'Instellingen'!$B$9,IFERROR(H56/MAX($H$6:$H$167)*100,0)*'Instellingen'!$B$10)/SUM('Instellingen'!$B$5:$B$10))</x:f>
        <x:v>13.269291270623926</x:v>
      </x:c>
      <x:c r="L56" t="n">
        <x:f>IF(K56="","",ROUND(('Instellingen'!$B$16+('Instellingen'!$B$17-'Instellingen'!$B$16)*POWER(K56/100,'Instellingen'!$B$18))/'Instellingen'!$B$19,0)*'Instellingen'!$B$19)</x:f>
        <x:v>444</x:v>
      </x:c>
      <x:c r="M56"/>
      <x:c r="N56" t="n">
        <x:f>IF(L56="","",MAX('Instellingen'!$B$16,MIN('Instellingen'!$B$17,L56+IF(M56="",0,M56))))</x:f>
        <x:v>444</x:v>
      </x:c>
      <x:c r="O56" t="str">
        <x:f>IF(N56="","",IF(N56&gt;='Instellingen'!$B$22,"Absolute top",IF(N56&gt;='Instellingen'!$B$23,"Kopman",IF(N56&gt;='Instellingen'!$B$24,"Sterke keuze",IF(N56&gt;='Instellingen'!$B$25,"Bruikbaar","Gok")))))</x:f>
        <x:v>Gok</x:v>
      </x:c>
      <x:c r="P56" t="str">
        <x:f>IF(A56="","",IF(D56="","Rol invullen","Compleet"))</x:f>
        <x:v>Compleet</x:v>
      </x:c>
      <x:c r="Q56" t="str">
        <x:v>https://www.procyclingstats.com/rider/jasha-sutterlin</x:v>
      </x:c>
    </x:row>
    <x:row r="57">
      <x:c r="A57" t="str">
        <x:v>MCKENZIE Hamish</x:v>
      </x:c>
      <x:c r="B57" t="str">
        <x:v>Team Jayco AlUla</x:v>
      </x:c>
      <x:c r="C57" t="str">
        <x:v>Ja</x:v>
      </x:c>
      <x:c r="D57" t="str">
        <x:v>Onzeker</x:v>
      </x:c>
      <x:c r="E57" t="n">
        <x:v>5</x:v>
      </x:c>
      <x:c r="F57" t="n">
        <x:v>63</x:v>
      </x:c>
      <x:c r="G57" t="n">
        <x:v>25</x:v>
      </x:c>
      <x:c r="H57" t="n">
        <x:v>44</x:v>
      </x:c>
      <x:c r="I57" t="n">
        <x:f>IF(D57="","",IFERROR(VLOOKUP(D57,'Instellingen'!$D$5:$E$13,2,FALSE),""))</x:f>
        <x:v>20</x:v>
      </x:c>
      <x:c r="J57" t="n">
        <x:f>IF(C57="","",IF(C57="Ja",100,0))</x:f>
        <x:v>100</x:v>
      </x:c>
      <x:c r="K57" t="n">
        <x:f>IF(D57="","",SUM(I57*'Instellingen'!$B$5,J57*'Instellingen'!$B$6,IFERROR(E57/MAX($E$6:$E$167)*100,0)*'Instellingen'!$B$7,IFERROR(F57/MAX($F$6:$F$167)*100,0)*'Instellingen'!$B$8,IFERROR(G57/MAX($G$6:$G$167)*100,0)*'Instellingen'!$B$9,IFERROR(H57/MAX($H$6:$H$167)*100,0)*'Instellingen'!$B$10)/SUM('Instellingen'!$B$5:$B$10))</x:f>
        <x:v>13.200180936509195</x:v>
      </x:c>
      <x:c r="L57" t="n">
        <x:f>IF(K57="","",ROUND(('Instellingen'!$B$16+('Instellingen'!$B$17-'Instellingen'!$B$16)*POWER(K57/100,'Instellingen'!$B$18))/'Instellingen'!$B$19,0)*'Instellingen'!$B$19)</x:f>
        <x:v>443</x:v>
      </x:c>
      <x:c r="M57"/>
      <x:c r="N57" t="n">
        <x:f>IF(L57="","",MAX('Instellingen'!$B$16,MIN('Instellingen'!$B$17,L57+IF(M57="",0,M57))))</x:f>
        <x:v>443</x:v>
      </x:c>
      <x:c r="O57" t="str">
        <x:f>IF(N57="","",IF(N57&gt;='Instellingen'!$B$22,"Absolute top",IF(N57&gt;='Instellingen'!$B$23,"Kopman",IF(N57&gt;='Instellingen'!$B$24,"Sterke keuze",IF(N57&gt;='Instellingen'!$B$25,"Bruikbaar","Gok")))))</x:f>
        <x:v>Gok</x:v>
      </x:c>
      <x:c r="P57" t="str">
        <x:f>IF(A57="","",IF(D57="","Rol invullen","Compleet"))</x:f>
        <x:v>Compleet</x:v>
      </x:c>
      <x:c r="Q57" t="str">
        <x:v>https://www.procyclingstats.com/rider/hamish-mckenzie</x:v>
      </x:c>
    </x:row>
    <x:row r="58">
      <x:c r="A58" t="str">
        <x:v>BOUWMAN Koen</x:v>
      </x:c>
      <x:c r="B58" t="str">
        <x:v>Team Jayco AlUla</x:v>
      </x:c>
      <x:c r="C58" t="str">
        <x:v>Nee</x:v>
      </x:c>
      <x:c r="D58" t="str">
        <x:v>Meesterknecht</x:v>
      </x:c>
      <x:c r="E58" t="n">
        <x:v>1032</x:v>
      </x:c>
      <x:c r="F58" t="n">
        <x:v>209</x:v>
      </x:c>
      <x:c r="G58" t="n">
        <x:v>728</x:v>
      </x:c>
      <x:c r="H58" t="n">
        <x:v>445</x:v>
      </x:c>
      <x:c r="I58" t="n">
        <x:f>IF(D58="","",IFERROR(VLOOKUP(D58,'Instellingen'!$D$5:$E$13,2,FALSE),""))</x:f>
        <x:v>55</x:v>
      </x:c>
      <x:c r="J58" t="n">
        <x:f>IF(C58="","",IF(C58="Ja",100,0))</x:f>
        <x:v>0</x:v>
      </x:c>
      <x:c r="K58" t="n">
        <x:f>IF(D58="","",SUM(I58*'Instellingen'!$B$5,J58*'Instellingen'!$B$6,IFERROR(E58/MAX($E$6:$E$167)*100,0)*'Instellingen'!$B$7,IFERROR(F58/MAX($F$6:$F$167)*100,0)*'Instellingen'!$B$8,IFERROR(G58/MAX($G$6:$G$167)*100,0)*'Instellingen'!$B$9,IFERROR(H58/MAX($H$6:$H$167)*100,0)*'Instellingen'!$B$10)/SUM('Instellingen'!$B$5:$B$10))</x:f>
        <x:v>14.171583808586725</x:v>
      </x:c>
      <x:c r="L58" t="n">
        <x:f>IF(K58="","",ROUND(('Instellingen'!$B$16+('Instellingen'!$B$17-'Instellingen'!$B$16)*POWER(K58/100,'Instellingen'!$B$18))/'Instellingen'!$B$19,0)*'Instellingen'!$B$19)</x:f>
        <x:v>457</x:v>
      </x:c>
      <x:c r="M58"/>
      <x:c r="N58" t="n">
        <x:f>IF(L58="","",MAX('Instellingen'!$B$16,MIN('Instellingen'!$B$17,L58+IF(M58="",0,M58))))</x:f>
        <x:v>457</x:v>
      </x:c>
      <x:c r="O58" t="str">
        <x:f>IF(N58="","",IF(N58&gt;='Instellingen'!$B$22,"Absolute top",IF(N58&gt;='Instellingen'!$B$23,"Kopman",IF(N58&gt;='Instellingen'!$B$24,"Sterke keuze",IF(N58&gt;='Instellingen'!$B$25,"Bruikbaar","Gok")))))</x:f>
        <x:v>Gok</x:v>
      </x:c>
      <x:c r="P58" t="str">
        <x:f>IF(A58="","",IF(D58="","Rol invullen","Compleet"))</x:f>
        <x:v>Compleet</x:v>
      </x:c>
      <x:c r="Q58" t="str">
        <x:v>https://www.procyclingstats.com/rider/koen-bouwman</x:v>
      </x:c>
    </x:row>
    <x:row r="59">
      <x:c r="A59" t="str">
        <x:v>PORTER Rudy</x:v>
      </x:c>
      <x:c r="B59" t="str">
        <x:v>Team Jayco AlUla</x:v>
      </x:c>
      <x:c r="C59" t="str">
        <x:v>Nee</x:v>
      </x:c>
      <x:c r="D59" t="str">
        <x:v>Onzeker</x:v>
      </x:c>
      <x:c r="E59" t="n">
        <x:v>147</x:v>
      </x:c>
      <x:c r="F59" t="n">
        <x:v>76</x:v>
      </x:c>
      <x:c r="G59" t="n">
        <x:v>89</x:v>
      </x:c>
      <x:c r="H59" t="n">
        <x:v>1</x:v>
      </x:c>
      <x:c r="I59" t="n">
        <x:f>IF(D59="","",IFERROR(VLOOKUP(D59,'Instellingen'!$D$5:$E$13,2,FALSE),""))</x:f>
        <x:v>20</x:v>
      </x:c>
      <x:c r="J59" t="n">
        <x:f>IF(C59="","",IF(C59="Ja",100,0))</x:f>
        <x:v>0</x:v>
      </x:c>
      <x:c r="K59" t="n">
        <x:f>IF(D59="","",SUM(I59*'Instellingen'!$B$5,J59*'Instellingen'!$B$6,IFERROR(E59/MAX($E$6:$E$167)*100,0)*'Instellingen'!$B$7,IFERROR(F59/MAX($F$6:$F$167)*100,0)*'Instellingen'!$B$8,IFERROR(G59/MAX($G$6:$G$167)*100,0)*'Instellingen'!$B$9,IFERROR(H59/MAX($H$6:$H$167)*100,0)*'Instellingen'!$B$10)/SUM('Instellingen'!$B$5:$B$10))</x:f>
        <x:v>3.855533432258318</x:v>
      </x:c>
      <x:c r="L59" t="n">
        <x:f>IF(K59="","",ROUND(('Instellingen'!$B$16+('Instellingen'!$B$17-'Instellingen'!$B$16)*POWER(K59/100,'Instellingen'!$B$18))/'Instellingen'!$B$19,0)*'Instellingen'!$B$19)</x:f>
        <x:v>327</x:v>
      </x:c>
      <x:c r="M59"/>
      <x:c r="N59" t="n">
        <x:f>IF(L59="","",MAX('Instellingen'!$B$16,MIN('Instellingen'!$B$17,L59+IF(M59="",0,M59))))</x:f>
        <x:v>327</x:v>
      </x:c>
      <x:c r="O59" t="str">
        <x:f>IF(N59="","",IF(N59&gt;='Instellingen'!$B$22,"Absolute top",IF(N59&gt;='Instellingen'!$B$23,"Kopman",IF(N59&gt;='Instellingen'!$B$24,"Sterke keuze",IF(N59&gt;='Instellingen'!$B$25,"Bruikbaar","Gok")))))</x:f>
        <x:v>Gok</x:v>
      </x:c>
      <x:c r="P59" t="str">
        <x:f>IF(A59="","",IF(D59="","Rol invullen","Compleet"))</x:f>
        <x:v>Compleet</x:v>
      </x:c>
      <x:c r="Q59" t="str">
        <x:v>https://www.procyclingstats.com/rider/rudy-porter</x:v>
      </x:c>
    </x:row>
    <x:row r="60">
      <x:c r="A60" t="str">
        <x:v>MARTINEZ Juan Guillermo</x:v>
      </x:c>
      <x:c r="B60" t="str">
        <x:v>Team Picnic PostNL</x:v>
      </x:c>
      <x:c r="C60" t="str">
        <x:v>Ja</x:v>
      </x:c>
      <x:c r="D60" t="str">
        <x:v>Knecht</x:v>
      </x:c>
      <x:c r="E60" t="n">
        <x:v>165</x:v>
      </x:c>
      <x:c r="F60" t="n">
        <x:v>16</x:v>
      </x:c>
      <x:c r="G60" t="n">
        <x:v>121</x:v>
      </x:c>
      <x:c r="H60" t="n">
        <x:v>0</x:v>
      </x:c>
      <x:c r="I60" t="n">
        <x:f>IF(D60="","",IFERROR(VLOOKUP(D60,'Instellingen'!$D$5:$E$13,2,FALSE),""))</x:f>
        <x:v>30</x:v>
      </x:c>
      <x:c r="J60" t="n">
        <x:f>IF(C60="","",IF(C60="Ja",100,0))</x:f>
        <x:v>100</x:v>
      </x:c>
      <x:c r="K60" t="n">
        <x:f>IF(D60="","",SUM(I60*'Instellingen'!$B$5,J60*'Instellingen'!$B$6,IFERROR(E60/MAX($E$6:$E$167)*100,0)*'Instellingen'!$B$7,IFERROR(F60/MAX($F$6:$F$167)*100,0)*'Instellingen'!$B$8,IFERROR(G60/MAX($G$6:$G$167)*100,0)*'Instellingen'!$B$9,IFERROR(H60/MAX($H$6:$H$167)*100,0)*'Instellingen'!$B$10)/SUM('Instellingen'!$B$5:$B$10))</x:f>
        <x:v>15.366598787027705</x:v>
      </x:c>
      <x:c r="L60" t="n">
        <x:f>IF(K60="","",ROUND(('Instellingen'!$B$16+('Instellingen'!$B$17-'Instellingen'!$B$16)*POWER(K60/100,'Instellingen'!$B$18))/'Instellingen'!$B$19,0)*'Instellingen'!$B$19)</x:f>
        <x:v>476</x:v>
      </x:c>
      <x:c r="M60"/>
      <x:c r="N60" t="n">
        <x:f>IF(L60="","",MAX('Instellingen'!$B$16,MIN('Instellingen'!$B$17,L60+IF(M60="",0,M60))))</x:f>
        <x:v>476</x:v>
      </x:c>
      <x:c r="O60" t="str">
        <x:f>IF(N60="","",IF(N60&gt;='Instellingen'!$B$22,"Absolute top",IF(N60&gt;='Instellingen'!$B$23,"Kopman",IF(N60&gt;='Instellingen'!$B$24,"Sterke keuze",IF(N60&gt;='Instellingen'!$B$25,"Bruikbaar","Gok")))))</x:f>
        <x:v>Gok</x:v>
      </x:c>
      <x:c r="P60" t="str">
        <x:f>IF(A60="","",IF(D60="","Rol invullen","Compleet"))</x:f>
        <x:v>Compleet</x:v>
      </x:c>
      <x:c r="Q60" t="str">
        <x:v>https://www.procyclingstats.com/rider/guillermo-juan-martinez</x:v>
      </x:c>
    </x:row>
    <x:row r="61">
      <x:c r="A61" t="str">
        <x:v>GAFFURI Mattia</x:v>
      </x:c>
      <x:c r="B61" t="str">
        <x:v>Team Picnic PostNL</x:v>
      </x:c>
      <x:c r="C61" t="str">
        <x:v>Nee</x:v>
      </x:c>
      <x:c r="D61" t="str">
        <x:v>Onzeker</x:v>
      </x:c>
      <x:c r="E61" t="n">
        <x:v>93</x:v>
      </x:c>
      <x:c r="F61" t="n">
        <x:v>33</x:v>
      </x:c>
      <x:c r="G61" t="n">
        <x:v>95</x:v>
      </x:c>
      <x:c r="H61" t="n">
        <x:v>8</x:v>
      </x:c>
      <x:c r="I61" t="n">
        <x:f>IF(D61="","",IFERROR(VLOOKUP(D61,'Instellingen'!$D$5:$E$13,2,FALSE),""))</x:f>
        <x:v>20</x:v>
      </x:c>
      <x:c r="J61" t="n">
        <x:f>IF(C61="","",IF(C61="Ja",100,0))</x:f>
        <x:v>0</x:v>
      </x:c>
      <x:c r="K61" t="n">
        <x:f>IF(D61="","",SUM(I61*'Instellingen'!$B$5,J61*'Instellingen'!$B$6,IFERROR(E61/MAX($E$6:$E$167)*100,0)*'Instellingen'!$B$7,IFERROR(F61/MAX($F$6:$F$167)*100,0)*'Instellingen'!$B$8,IFERROR(G61/MAX($G$6:$G$167)*100,0)*'Instellingen'!$B$9,IFERROR(H61/MAX($H$6:$H$167)*100,0)*'Instellingen'!$B$10)/SUM('Instellingen'!$B$5:$B$10))</x:f>
        <x:v>3.5738523750894795</x:v>
      </x:c>
      <x:c r="L61" t="n">
        <x:f>IF(K61="","",ROUND(('Instellingen'!$B$16+('Instellingen'!$B$17-'Instellingen'!$B$16)*POWER(K61/100,'Instellingen'!$B$18))/'Instellingen'!$B$19,0)*'Instellingen'!$B$19)</x:f>
        <x:v>324</x:v>
      </x:c>
      <x:c r="M61"/>
      <x:c r="N61" t="n">
        <x:f>IF(L61="","",MAX('Instellingen'!$B$16,MIN('Instellingen'!$B$17,L61+IF(M61="",0,M61))))</x:f>
        <x:v>324</x:v>
      </x:c>
      <x:c r="O61" t="str">
        <x:f>IF(N61="","",IF(N61&gt;='Instellingen'!$B$22,"Absolute top",IF(N61&gt;='Instellingen'!$B$23,"Kopman",IF(N61&gt;='Instellingen'!$B$24,"Sterke keuze",IF(N61&gt;='Instellingen'!$B$25,"Bruikbaar","Gok")))))</x:f>
        <x:v>Gok</x:v>
      </x:c>
      <x:c r="P61" t="str">
        <x:f>IF(A61="","",IF(D61="","Rol invullen","Compleet"))</x:f>
        <x:v>Compleet</x:v>
      </x:c>
      <x:c r="Q61" t="str">
        <x:v>https://www.procyclingstats.com/rider/mattia-gaffuri</x:v>
      </x:c>
    </x:row>
    <x:row r="62">
      <x:c r="A62" t="str">
        <x:v>HAMILTON Chris</x:v>
      </x:c>
      <x:c r="B62" t="str">
        <x:v>Team Picnic PostNL</x:v>
      </x:c>
      <x:c r="C62" t="str">
        <x:v>Nee</x:v>
      </x:c>
      <x:c r="D62" t="str">
        <x:v>Meesterknecht</x:v>
      </x:c>
      <x:c r="E62" t="n">
        <x:v>984</x:v>
      </x:c>
      <x:c r="F62" t="n">
        <x:v>283</x:v>
      </x:c>
      <x:c r="G62" t="n">
        <x:v>621</x:v>
      </x:c>
      <x:c r="H62" t="n">
        <x:v>74</x:v>
      </x:c>
      <x:c r="I62" t="n">
        <x:f>IF(D62="","",IFERROR(VLOOKUP(D62,'Instellingen'!$D$5:$E$13,2,FALSE),""))</x:f>
        <x:v>55</x:v>
      </x:c>
      <x:c r="J62" t="n">
        <x:f>IF(C62="","",IF(C62="Ja",100,0))</x:f>
        <x:v>0</x:v>
      </x:c>
      <x:c r="K62" t="n">
        <x:f>IF(D62="","",SUM(I62*'Instellingen'!$B$5,J62*'Instellingen'!$B$6,IFERROR(E62/MAX($E$6:$E$167)*100,0)*'Instellingen'!$B$7,IFERROR(F62/MAX($F$6:$F$167)*100,0)*'Instellingen'!$B$8,IFERROR(G62/MAX($G$6:$G$167)*100,0)*'Instellingen'!$B$9,IFERROR(H62/MAX($H$6:$H$167)*100,0)*'Instellingen'!$B$10)/SUM('Instellingen'!$B$5:$B$10))</x:f>
        <x:v>13.66746215122186</x:v>
      </x:c>
      <x:c r="L62" t="n">
        <x:f>IF(K62="","",ROUND(('Instellingen'!$B$16+('Instellingen'!$B$17-'Instellingen'!$B$16)*POWER(K62/100,'Instellingen'!$B$18))/'Instellingen'!$B$19,0)*'Instellingen'!$B$19)</x:f>
        <x:v>450</x:v>
      </x:c>
      <x:c r="M62"/>
      <x:c r="N62" t="n">
        <x:f>IF(L62="","",MAX('Instellingen'!$B$16,MIN('Instellingen'!$B$17,L62+IF(M62="",0,M62))))</x:f>
        <x:v>450</x:v>
      </x:c>
      <x:c r="O62" t="str">
        <x:f>IF(N62="","",IF(N62&gt;='Instellingen'!$B$22,"Absolute top",IF(N62&gt;='Instellingen'!$B$23,"Kopman",IF(N62&gt;='Instellingen'!$B$24,"Sterke keuze",IF(N62&gt;='Instellingen'!$B$25,"Bruikbaar","Gok")))))</x:f>
        <x:v>Gok</x:v>
      </x:c>
      <x:c r="P62" t="str">
        <x:f>IF(A62="","",IF(D62="","Rol invullen","Compleet"))</x:f>
        <x:v>Compleet</x:v>
      </x:c>
      <x:c r="Q62" t="str">
        <x:v>https://www.procyclingstats.com/rider/chris-hamilton</x:v>
      </x:c>
    </x:row>
    <x:row r="63">
      <x:c r="A63" t="str">
        <x:v>RENARD-HAQUIN Henri-François</x:v>
      </x:c>
      <x:c r="B63" t="str">
        <x:v>Team Picnic PostNL</x:v>
      </x:c>
      <x:c r="C63" t="str">
        <x:v>Ja</x:v>
      </x:c>
      <x:c r="D63" t="str">
        <x:v>Onzeker</x:v>
      </x:c>
      <x:c r="E63" t="n">
        <x:v>15</x:v>
      </x:c>
      <x:c r="F63" t="n">
        <x:v>56</x:v>
      </x:c>
      <x:c r="G63" t="n">
        <x:v>55</x:v>
      </x:c>
      <x:c r="H63" t="n">
        <x:v>0</x:v>
      </x:c>
      <x:c r="I63" t="n">
        <x:f>IF(D63="","",IFERROR(VLOOKUP(D63,'Instellingen'!$D$5:$E$13,2,FALSE),""))</x:f>
        <x:v>20</x:v>
      </x:c>
      <x:c r="J63" t="n">
        <x:f>IF(C63="","",IF(C63="Ja",100,0))</x:f>
        <x:v>100</x:v>
      </x:c>
      <x:c r="K63" t="n">
        <x:f>IF(D63="","",SUM(I63*'Instellingen'!$B$5,J63*'Instellingen'!$B$6,IFERROR(E63/MAX($E$6:$E$167)*100,0)*'Instellingen'!$B$7,IFERROR(F63/MAX($F$6:$F$167)*100,0)*'Instellingen'!$B$8,IFERROR(G63/MAX($G$6:$G$167)*100,0)*'Instellingen'!$B$9,IFERROR(H63/MAX($H$6:$H$167)*100,0)*'Instellingen'!$B$10)/SUM('Instellingen'!$B$5:$B$10))</x:f>
        <x:v>13.235370155891934</x:v>
      </x:c>
      <x:c r="L63" t="n">
        <x:f>IF(K63="","",ROUND(('Instellingen'!$B$16+('Instellingen'!$B$17-'Instellingen'!$B$16)*POWER(K63/100,'Instellingen'!$B$18))/'Instellingen'!$B$19,0)*'Instellingen'!$B$19)</x:f>
        <x:v>443</x:v>
      </x:c>
      <x:c r="M63"/>
      <x:c r="N63" t="n">
        <x:f>IF(L63="","",MAX('Instellingen'!$B$16,MIN('Instellingen'!$B$17,L63+IF(M63="",0,M63))))</x:f>
        <x:v>443</x:v>
      </x:c>
      <x:c r="O63" t="str">
        <x:f>IF(N63="","",IF(N63&gt;='Instellingen'!$B$22,"Absolute top",IF(N63&gt;='Instellingen'!$B$23,"Kopman",IF(N63&gt;='Instellingen'!$B$24,"Sterke keuze",IF(N63&gt;='Instellingen'!$B$25,"Bruikbaar","Gok")))))</x:f>
        <x:v>Gok</x:v>
      </x:c>
      <x:c r="P63" t="str">
        <x:f>IF(A63="","",IF(D63="","Rol invullen","Compleet"))</x:f>
        <x:v>Compleet</x:v>
      </x:c>
      <x:c r="Q63" t="str">
        <x:v>https://www.procyclingstats.com/rider/henri-francois-renard-haquin</x:v>
      </x:c>
    </x:row>
    <x:row r="64">
      <x:c r="A64" t="str">
        <x:v>DE JONG Timo</x:v>
      </x:c>
      <x:c r="B64" t="str">
        <x:v>Team Picnic PostNL</x:v>
      </x:c>
      <x:c r="C64" t="str">
        <x:v>Nee</x:v>
      </x:c>
      <x:c r="D64" t="str">
        <x:v>Lead-out</x:v>
      </x:c>
      <x:c r="E64" t="n">
        <x:v>43</x:v>
      </x:c>
      <x:c r="F64" t="n">
        <x:v>368</x:v>
      </x:c>
      <x:c r="G64" t="n">
        <x:v>4</x:v>
      </x:c>
      <x:c r="H64" t="n">
        <x:v>41</x:v>
      </x:c>
      <x:c r="I64" t="n">
        <x:f>IF(D64="","",IFERROR(VLOOKUP(D64,'Instellingen'!$D$5:$E$13,2,FALSE),""))</x:f>
        <x:v>45</x:v>
      </x:c>
      <x:c r="J64" t="n">
        <x:f>IF(C64="","",IF(C64="Ja",100,0))</x:f>
        <x:v>0</x:v>
      </x:c>
      <x:c r="K64" t="n">
        <x:f>IF(D64="","",SUM(I64*'Instellingen'!$B$5,J64*'Instellingen'!$B$6,IFERROR(E64/MAX($E$6:$E$167)*100,0)*'Instellingen'!$B$7,IFERROR(F64/MAX($F$6:$F$167)*100,0)*'Instellingen'!$B$8,IFERROR(G64/MAX($G$6:$G$167)*100,0)*'Instellingen'!$B$9,IFERROR(H64/MAX($H$6:$H$167)*100,0)*'Instellingen'!$B$10)/SUM('Instellingen'!$B$5:$B$10))</x:f>
        <x:v>7.610017299475237</x:v>
      </x:c>
      <x:c r="L64" t="n">
        <x:f>IF(K64="","",ROUND(('Instellingen'!$B$16+('Instellingen'!$B$17-'Instellingen'!$B$16)*POWER(K64/100,'Instellingen'!$B$18))/'Instellingen'!$B$19,0)*'Instellingen'!$B$19)</x:f>
        <x:v>368</x:v>
      </x:c>
      <x:c r="M64"/>
      <x:c r="N64" t="n">
        <x:f>IF(L64="","",MAX('Instellingen'!$B$16,MIN('Instellingen'!$B$17,L64+IF(M64="",0,M64))))</x:f>
        <x:v>368</x:v>
      </x:c>
      <x:c r="O64" t="str">
        <x:f>IF(N64="","",IF(N64&gt;='Instellingen'!$B$22,"Absolute top",IF(N64&gt;='Instellingen'!$B$23,"Kopman",IF(N64&gt;='Instellingen'!$B$24,"Sterke keuze",IF(N64&gt;='Instellingen'!$B$25,"Bruikbaar","Gok")))))</x:f>
        <x:v>Gok</x:v>
      </x:c>
      <x:c r="P64" t="str">
        <x:f>IF(A64="","",IF(D64="","Rol invullen","Compleet"))</x:f>
        <x:v>Compleet</x:v>
      </x:c>
      <x:c r="Q64" t="str">
        <x:v>https://www.procyclingstats.com/rider/timo-de-jong</x:v>
      </x:c>
    </x:row>
    <x:row r="65">
      <x:c r="A65" t="str">
        <x:v>LEEMREIZE Gijs</x:v>
      </x:c>
      <x:c r="B65" t="str">
        <x:v>Team Picnic PostNL</x:v>
      </x:c>
      <x:c r="C65" t="str">
        <x:v>Nee</x:v>
      </x:c>
      <x:c r="D65" t="str">
        <x:v>Knecht</x:v>
      </x:c>
      <x:c r="E65" t="n">
        <x:v>362</x:v>
      </x:c>
      <x:c r="F65" t="n">
        <x:v>62</x:v>
      </x:c>
      <x:c r="G65" t="n">
        <x:v>506</x:v>
      </x:c>
      <x:c r="H65" t="n">
        <x:v>40</x:v>
      </x:c>
      <x:c r="I65" t="n">
        <x:f>IF(D65="","",IFERROR(VLOOKUP(D65,'Instellingen'!$D$5:$E$13,2,FALSE),""))</x:f>
        <x:v>30</x:v>
      </x:c>
      <x:c r="J65" t="n">
        <x:f>IF(C65="","",IF(C65="Ja",100,0))</x:f>
        <x:v>0</x:v>
      </x:c>
      <x:c r="K65" t="n">
        <x:f>IF(D65="","",SUM(I65*'Instellingen'!$B$5,J65*'Instellingen'!$B$6,IFERROR(E65/MAX($E$6:$E$167)*100,0)*'Instellingen'!$B$7,IFERROR(F65/MAX($F$6:$F$167)*100,0)*'Instellingen'!$B$8,IFERROR(G65/MAX($G$6:$G$167)*100,0)*'Instellingen'!$B$9,IFERROR(H65/MAX($H$6:$H$167)*100,0)*'Instellingen'!$B$10)/SUM('Instellingen'!$B$5:$B$10))</x:f>
        <x:v>6.8115468301052875</x:v>
      </x:c>
      <x:c r="L65" t="n">
        <x:f>IF(K65="","",ROUND(('Instellingen'!$B$16+('Instellingen'!$B$17-'Instellingen'!$B$16)*POWER(K65/100,'Instellingen'!$B$18))/'Instellingen'!$B$19,0)*'Instellingen'!$B$19)</x:f>
        <x:v>359</x:v>
      </x:c>
      <x:c r="M65"/>
      <x:c r="N65" t="n">
        <x:f>IF(L65="","",MAX('Instellingen'!$B$16,MIN('Instellingen'!$B$17,L65+IF(M65="",0,M65))))</x:f>
        <x:v>359</x:v>
      </x:c>
      <x:c r="O65" t="str">
        <x:f>IF(N65="","",IF(N65&gt;='Instellingen'!$B$22,"Absolute top",IF(N65&gt;='Instellingen'!$B$23,"Kopman",IF(N65&gt;='Instellingen'!$B$24,"Sterke keuze",IF(N65&gt;='Instellingen'!$B$25,"Bruikbaar","Gok")))))</x:f>
        <x:v>Gok</x:v>
      </x:c>
      <x:c r="P65" t="str">
        <x:f>IF(A65="","",IF(D65="","Rol invullen","Compleet"))</x:f>
        <x:v>Compleet</x:v>
      </x:c>
      <x:c r="Q65" t="str">
        <x:v>https://www.procyclingstats.com/rider/gijs-leemreize</x:v>
      </x:c>
    </x:row>
    <x:row r="66">
      <x:c r="A66" t="str">
        <x:v>PEACE Oliver</x:v>
      </x:c>
      <x:c r="B66" t="str">
        <x:v>Team Picnic PostNL</x:v>
      </x:c>
      <x:c r="C66" t="str">
        <x:v>Ja</x:v>
      </x:c>
      <x:c r="D66" t="str">
        <x:v>Onzeker</x:v>
      </x:c>
      <x:c r="E66" t="n">
        <x:v>27</x:v>
      </x:c>
      <x:c r="F66" t="n">
        <x:v>17</x:v>
      </x:c>
      <x:c r="G66" t="n">
        <x:v>28</x:v>
      </x:c>
      <x:c r="H66" t="n">
        <x:v>0</x:v>
      </x:c>
      <x:c r="I66" t="n">
        <x:f>IF(D66="","",IFERROR(VLOOKUP(D66,'Instellingen'!$D$5:$E$13,2,FALSE),""))</x:f>
        <x:v>20</x:v>
      </x:c>
      <x:c r="J66" t="n">
        <x:f>IF(C66="","",IF(C66="Ja",100,0))</x:f>
        <x:v>100</x:v>
      </x:c>
      <x:c r="K66" t="n">
        <x:f>IF(D66="","",SUM(I66*'Instellingen'!$B$5,J66*'Instellingen'!$B$6,IFERROR(E66/MAX($E$6:$E$167)*100,0)*'Instellingen'!$B$7,IFERROR(F66/MAX($F$6:$F$167)*100,0)*'Instellingen'!$B$8,IFERROR(G66/MAX($G$6:$G$167)*100,0)*'Instellingen'!$B$9,IFERROR(H66/MAX($H$6:$H$167)*100,0)*'Instellingen'!$B$10)/SUM('Instellingen'!$B$5:$B$10))</x:f>
        <x:v>13.178405751975356</x:v>
      </x:c>
      <x:c r="L66" t="n">
        <x:f>IF(K66="","",ROUND(('Instellingen'!$B$16+('Instellingen'!$B$17-'Instellingen'!$B$16)*POWER(K66/100,'Instellingen'!$B$18))/'Instellingen'!$B$19,0)*'Instellingen'!$B$19)</x:f>
        <x:v>443</x:v>
      </x:c>
      <x:c r="M66"/>
      <x:c r="N66" t="n">
        <x:f>IF(L66="","",MAX('Instellingen'!$B$16,MIN('Instellingen'!$B$17,L66+IF(M66="",0,M66))))</x:f>
        <x:v>443</x:v>
      </x:c>
      <x:c r="O66" t="str">
        <x:f>IF(N66="","",IF(N66&gt;='Instellingen'!$B$22,"Absolute top",IF(N66&gt;='Instellingen'!$B$23,"Kopman",IF(N66&gt;='Instellingen'!$B$24,"Sterke keuze",IF(N66&gt;='Instellingen'!$B$25,"Bruikbaar","Gok")))))</x:f>
        <x:v>Gok</x:v>
      </x:c>
      <x:c r="P66" t="str">
        <x:f>IF(A66="","",IF(D66="","Rol invullen","Compleet"))</x:f>
        <x:v>Compleet</x:v>
      </x:c>
      <x:c r="Q66" t="str">
        <x:v>https://www.procyclingstats.com/rider/oliver-peace</x:v>
      </x:c>
    </x:row>
    <x:row r="67">
      <x:c r="A67" t="str">
        <x:v>ROOSEN Timo</x:v>
      </x:c>
      <x:c r="B67" t="str">
        <x:v>Team Picnic PostNL</x:v>
      </x:c>
      <x:c r="C67" t="str">
        <x:v>Nee</x:v>
      </x:c>
      <x:c r="D67" t="str">
        <x:v>Sprinter</x:v>
      </x:c>
      <x:c r="E67" t="n">
        <x:v>452</x:v>
      </x:c>
      <x:c r="F67" t="n">
        <x:v>1420</x:v>
      </x:c>
      <x:c r="G67" t="n">
        <x:v>146</x:v>
      </x:c>
      <x:c r="H67" t="n">
        <x:v>200</x:v>
      </x:c>
      <x:c r="I67" t="n">
        <x:f>IF(D67="","",IFERROR(VLOOKUP(D67,'Instellingen'!$D$5:$E$13,2,FALSE),""))</x:f>
        <x:v>80</x:v>
      </x:c>
      <x:c r="J67" t="n">
        <x:f>IF(C67="","",IF(C67="Ja",100,0))</x:f>
        <x:v>0</x:v>
      </x:c>
      <x:c r="K67" t="n">
        <x:f>IF(D67="","",SUM(I67*'Instellingen'!$B$5,J67*'Instellingen'!$B$6,IFERROR(E67/MAX($E$6:$E$167)*100,0)*'Instellingen'!$B$7,IFERROR(F67/MAX($F$6:$F$167)*100,0)*'Instellingen'!$B$8,IFERROR(G67/MAX($G$6:$G$167)*100,0)*'Instellingen'!$B$9,IFERROR(H67/MAX($H$6:$H$167)*100,0)*'Instellingen'!$B$10)/SUM('Instellingen'!$B$5:$B$10))</x:f>
        <x:v>16.695878630916813</x:v>
      </x:c>
      <x:c r="L67" t="n">
        <x:f>IF(K67="","",ROUND(('Instellingen'!$B$16+('Instellingen'!$B$17-'Instellingen'!$B$16)*POWER(K67/100,'Instellingen'!$B$18))/'Instellingen'!$B$19,0)*'Instellingen'!$B$19)</x:f>
        <x:v>496</x:v>
      </x:c>
      <x:c r="M67"/>
      <x:c r="N67" t="n">
        <x:f>IF(L67="","",MAX('Instellingen'!$B$16,MIN('Instellingen'!$B$17,L67+IF(M67="",0,M67))))</x:f>
        <x:v>496</x:v>
      </x:c>
      <x:c r="O67" t="str">
        <x:f>IF(N67="","",IF(N67&gt;='Instellingen'!$B$22,"Absolute top",IF(N67&gt;='Instellingen'!$B$23,"Kopman",IF(N67&gt;='Instellingen'!$B$24,"Sterke keuze",IF(N67&gt;='Instellingen'!$B$25,"Bruikbaar","Gok")))))</x:f>
        <x:v>Gok</x:v>
      </x:c>
      <x:c r="P67" t="str">
        <x:f>IF(A67="","",IF(D67="","Rol invullen","Compleet"))</x:f>
        <x:v>Compleet</x:v>
      </x:c>
      <x:c r="Q67" t="str">
        <x:v>https://www.procyclingstats.com/rider/timo-roosen</x:v>
      </x:c>
    </x:row>
    <x:row r="68">
      <x:c r="A68" t="str">
        <x:v>VAN AERT Wout</x:v>
      </x:c>
      <x:c r="B68" t="str">
        <x:v>Team Visma | Lease a Bike</x:v>
      </x:c>
      <x:c r="C68" t="str">
        <x:v>Nee</x:v>
      </x:c>
      <x:c r="D68" t="str">
        <x:v>Kopman punten</x:v>
      </x:c>
      <x:c r="E68" t="n">
        <x:v>1433</x:v>
      </x:c>
      <x:c r="F68" t="n">
        <x:v>11371</x:v>
      </x:c>
      <x:c r="G68" t="n">
        <x:v>2192</x:v>
      </x:c>
      <x:c r="H68" t="n">
        <x:v>3102</x:v>
      </x:c>
      <x:c r="I68" t="n">
        <x:f>IF(D68="","",IFERROR(VLOOKUP(D68,'Instellingen'!$D$5:$E$13,2,FALSE),""))</x:f>
        <x:v>90</x:v>
      </x:c>
      <x:c r="J68" t="n">
        <x:f>IF(C68="","",IF(C68="Ja",100,0))</x:f>
        <x:v>0</x:v>
      </x:c>
      <x:c r="K68" t="n">
        <x:f>IF(D68="","",SUM(I68*'Instellingen'!$B$5,J68*'Instellingen'!$B$6,IFERROR(E68/MAX($E$6:$E$167)*100,0)*'Instellingen'!$B$7,IFERROR(F68/MAX($F$6:$F$167)*100,0)*'Instellingen'!$B$8,IFERROR(G68/MAX($G$6:$G$167)*100,0)*'Instellingen'!$B$9,IFERROR(H68/MAX($H$6:$H$167)*100,0)*'Instellingen'!$B$10)/SUM('Instellingen'!$B$5:$B$10))</x:f>
        <x:v>44.79121750629941</x:v>
      </x:c>
      <x:c r="L68" t="n">
        <x:f>IF(K68="","",ROUND(('Instellingen'!$B$16+('Instellingen'!$B$17-'Instellingen'!$B$16)*POWER(K68/100,'Instellingen'!$B$18))/'Instellingen'!$B$19,0)*'Instellingen'!$B$19)</x:f>
        <x:v>1044</x:v>
      </x:c>
      <x:c r="M68"/>
      <x:c r="N68" t="n">
        <x:f>IF(L68="","",MAX('Instellingen'!$B$16,MIN('Instellingen'!$B$17,L68+IF(M68="",0,M68))))</x:f>
        <x:v>1044</x:v>
      </x:c>
      <x:c r="O68" t="str">
        <x:f>IF(N68="","",IF(N68&gt;='Instellingen'!$B$22,"Absolute top",IF(N68&gt;='Instellingen'!$B$23,"Kopman",IF(N68&gt;='Instellingen'!$B$24,"Sterke keuze",IF(N68&gt;='Instellingen'!$B$25,"Bruikbaar","Gok")))))</x:f>
        <x:v>Bruikbaar</x:v>
      </x:c>
      <x:c r="P68" t="str">
        <x:f>IF(A68="","",IF(D68="","Rol invullen","Compleet"))</x:f>
        <x:v>Compleet</x:v>
      </x:c>
      <x:c r="Q68" t="str">
        <x:v>https://www.procyclingstats.com/rider/wout-van-aert</x:v>
      </x:c>
    </x:row>
    <x:row r="69">
      <x:c r="A69" t="str">
        <x:v>BRENNAN Matthew</x:v>
      </x:c>
      <x:c r="B69" t="str">
        <x:v>Team Visma | Lease a Bike</x:v>
      </x:c>
      <x:c r="C69" t="str">
        <x:v>Ja</x:v>
      </x:c>
      <x:c r="D69" t="str">
        <x:v>Sprinter</x:v>
      </x:c>
      <x:c r="E69" t="n">
        <x:v>286</x:v>
      </x:c>
      <x:c r="F69" t="n">
        <x:v>1431</x:v>
      </x:c>
      <x:c r="G69" t="n">
        <x:v>158</x:v>
      </x:c>
      <x:c r="H69" t="n">
        <x:v>112</x:v>
      </x:c>
      <x:c r="I69" t="n">
        <x:f>IF(D69="","",IFERROR(VLOOKUP(D69,'Instellingen'!$D$5:$E$13,2,FALSE),""))</x:f>
        <x:v>80</x:v>
      </x:c>
      <x:c r="J69" t="n">
        <x:f>IF(C69="","",IF(C69="Ja",100,0))</x:f>
        <x:v>100</x:v>
      </x:c>
      <x:c r="K69" t="n">
        <x:f>IF(D69="","",SUM(I69*'Instellingen'!$B$5,J69*'Instellingen'!$B$6,IFERROR(E69/MAX($E$6:$E$167)*100,0)*'Instellingen'!$B$7,IFERROR(F69/MAX($F$6:$F$167)*100,0)*'Instellingen'!$B$8,IFERROR(G69/MAX($G$6:$G$167)*100,0)*'Instellingen'!$B$9,IFERROR(H69/MAX($H$6:$H$167)*100,0)*'Instellingen'!$B$10)/SUM('Instellingen'!$B$5:$B$10))</x:f>
        <x:v>25.986911441875833</x:v>
      </x:c>
      <x:c r="L69" t="n">
        <x:f>IF(K69="","",ROUND(('Instellingen'!$B$16+('Instellingen'!$B$17-'Instellingen'!$B$16)*POWER(K69/100,'Instellingen'!$B$18))/'Instellingen'!$B$19,0)*'Instellingen'!$B$19)</x:f>
        <x:v>657</x:v>
      </x:c>
      <x:c r="M69"/>
      <x:c r="N69" t="n">
        <x:f>IF(L69="","",MAX('Instellingen'!$B$16,MIN('Instellingen'!$B$17,L69+IF(M69="",0,M69))))</x:f>
        <x:v>657</x:v>
      </x:c>
      <x:c r="O69" t="str">
        <x:f>IF(N69="","",IF(N69&gt;='Instellingen'!$B$22,"Absolute top",IF(N69&gt;='Instellingen'!$B$23,"Kopman",IF(N69&gt;='Instellingen'!$B$24,"Sterke keuze",IF(N69&gt;='Instellingen'!$B$25,"Bruikbaar","Gok")))))</x:f>
        <x:v>Gok</x:v>
      </x:c>
      <x:c r="P69" t="str">
        <x:f>IF(A69="","",IF(D69="","Rol invullen","Compleet"))</x:f>
        <x:v>Compleet</x:v>
      </x:c>
      <x:c r="Q69" t="str">
        <x:v>https://www.procyclingstats.com/rider/matthew-brennan</x:v>
      </x:c>
    </x:row>
    <x:row r="70">
      <x:c r="A70" t="str">
        <x:v>NORDHAGEN Jørgen</x:v>
      </x:c>
      <x:c r="B70" t="str">
        <x:v>Team Visma | Lease a Bike</x:v>
      </x:c>
      <x:c r="C70" t="str">
        <x:v>Ja</x:v>
      </x:c>
      <x:c r="D70" t="str">
        <x:v>Knecht</x:v>
      </x:c>
      <x:c r="E70" t="n">
        <x:v>630</x:v>
      </x:c>
      <x:c r="F70" t="n">
        <x:v>97</x:v>
      </x:c>
      <x:c r="G70" t="n">
        <x:v>395</x:v>
      </x:c>
      <x:c r="H70" t="n">
        <x:v>135</x:v>
      </x:c>
      <x:c r="I70" t="n">
        <x:f>IF(D70="","",IFERROR(VLOOKUP(D70,'Instellingen'!$D$5:$E$13,2,FALSE),""))</x:f>
        <x:v>30</x:v>
      </x:c>
      <x:c r="J70" t="n">
        <x:f>IF(C70="","",IF(C70="Ja",100,0))</x:f>
        <x:v>100</x:v>
      </x:c>
      <x:c r="K70" t="n">
        <x:f>IF(D70="","",SUM(I70*'Instellingen'!$B$5,J70*'Instellingen'!$B$6,IFERROR(E70/MAX($E$6:$E$167)*100,0)*'Instellingen'!$B$7,IFERROR(F70/MAX($F$6:$F$167)*100,0)*'Instellingen'!$B$8,IFERROR(G70/MAX($G$6:$G$167)*100,0)*'Instellingen'!$B$9,IFERROR(H70/MAX($H$6:$H$167)*100,0)*'Instellingen'!$B$10)/SUM('Instellingen'!$B$5:$B$10))</x:f>
        <x:v>17.88566850382123</x:v>
      </x:c>
      <x:c r="L70" t="n">
        <x:f>IF(K70="","",ROUND(('Instellingen'!$B$16+('Instellingen'!$B$17-'Instellingen'!$B$16)*POWER(K70/100,'Instellingen'!$B$18))/'Instellingen'!$B$19,0)*'Instellingen'!$B$19)</x:f>
        <x:v>515</x:v>
      </x:c>
      <x:c r="M70"/>
      <x:c r="N70" t="n">
        <x:f>IF(L70="","",MAX('Instellingen'!$B$16,MIN('Instellingen'!$B$17,L70+IF(M70="",0,M70))))</x:f>
        <x:v>515</x:v>
      </x:c>
      <x:c r="O70" t="str">
        <x:f>IF(N70="","",IF(N70&gt;='Instellingen'!$B$22,"Absolute top",IF(N70&gt;='Instellingen'!$B$23,"Kopman",IF(N70&gt;='Instellingen'!$B$24,"Sterke keuze",IF(N70&gt;='Instellingen'!$B$25,"Bruikbaar","Gok")))))</x:f>
        <x:v>Gok</x:v>
      </x:c>
      <x:c r="P70" t="str">
        <x:f>IF(A70="","",IF(D70="","Rol invullen","Compleet"))</x:f>
        <x:v>Compleet</x:v>
      </x:c>
      <x:c r="Q70" t="str">
        <x:v>https://www.procyclingstats.com/rider/jorgen-nordhagen</x:v>
      </x:c>
    </x:row>
    <x:row r="71">
      <x:c r="A71" t="str">
        <x:v>TULETT Ben</x:v>
      </x:c>
      <x:c r="B71" t="str">
        <x:v>Team Visma | Lease a Bike</x:v>
      </x:c>
      <x:c r="C71" t="str">
        <x:v>Ja</x:v>
      </x:c>
      <x:c r="D71" t="str">
        <x:v>Meesterknecht</x:v>
      </x:c>
      <x:c r="E71" t="n">
        <x:v>953</x:v>
      </x:c>
      <x:c r="F71" t="n">
        <x:v>974</x:v>
      </x:c>
      <x:c r="G71" t="n">
        <x:v>959</x:v>
      </x:c>
      <x:c r="H71" t="n">
        <x:v>485</x:v>
      </x:c>
      <x:c r="I71" t="n">
        <x:f>IF(D71="","",IFERROR(VLOOKUP(D71,'Instellingen'!$D$5:$E$13,2,FALSE),""))</x:f>
        <x:v>55</x:v>
      </x:c>
      <x:c r="J71" t="n">
        <x:f>IF(C71="","",IF(C71="Ja",100,0))</x:f>
        <x:v>100</x:v>
      </x:c>
      <x:c r="K71" t="n">
        <x:f>IF(D71="","",SUM(I71*'Instellingen'!$B$5,J71*'Instellingen'!$B$6,IFERROR(E71/MAX($E$6:$E$167)*100,0)*'Instellingen'!$B$7,IFERROR(F71/MAX($F$6:$F$167)*100,0)*'Instellingen'!$B$8,IFERROR(G71/MAX($G$6:$G$167)*100,0)*'Instellingen'!$B$9,IFERROR(H71/MAX($H$6:$H$167)*100,0)*'Instellingen'!$B$10)/SUM('Instellingen'!$B$5:$B$10))</x:f>
        <x:v>25.54535812562947</x:v>
      </x:c>
      <x:c r="L71" t="n">
        <x:f>IF(K71="","",ROUND(('Instellingen'!$B$16+('Instellingen'!$B$17-'Instellingen'!$B$16)*POWER(K71/100,'Instellingen'!$B$18))/'Instellingen'!$B$19,0)*'Instellingen'!$B$19)</x:f>
        <x:v>649</x:v>
      </x:c>
      <x:c r="M71"/>
      <x:c r="N71" t="n">
        <x:f>IF(L71="","",MAX('Instellingen'!$B$16,MIN('Instellingen'!$B$17,L71+IF(M71="",0,M71))))</x:f>
        <x:v>649</x:v>
      </x:c>
      <x:c r="O71" t="str">
        <x:f>IF(N71="","",IF(N71&gt;='Instellingen'!$B$22,"Absolute top",IF(N71&gt;='Instellingen'!$B$23,"Kopman",IF(N71&gt;='Instellingen'!$B$24,"Sterke keuze",IF(N71&gt;='Instellingen'!$B$25,"Bruikbaar","Gok")))))</x:f>
        <x:v>Gok</x:v>
      </x:c>
      <x:c r="P71" t="str">
        <x:f>IF(A71="","",IF(D71="","Rol invullen","Compleet"))</x:f>
        <x:v>Compleet</x:v>
      </x:c>
      <x:c r="Q71" t="str">
        <x:v>https://www.procyclingstats.com/rider/ben-tulett</x:v>
      </x:c>
    </x:row>
    <x:row r="72">
      <x:c r="A72" t="str">
        <x:v>KRUIJSWIJK Steven</x:v>
      </x:c>
      <x:c r="B72" t="str">
        <x:v>Team Visma | Lease a Bike</x:v>
      </x:c>
      <x:c r="C72" t="str">
        <x:v>Nee</x:v>
      </x:c>
      <x:c r="D72" t="str">
        <x:v>Kopman AK</x:v>
      </x:c>
      <x:c r="E72" t="n">
        <x:v>4504</x:v>
      </x:c>
      <x:c r="F72" t="n">
        <x:v>387</x:v>
      </x:c>
      <x:c r="G72" t="n">
        <x:v>4081</x:v>
      </x:c>
      <x:c r="H72" t="n">
        <x:v>1440</x:v>
      </x:c>
      <x:c r="I72" t="n">
        <x:f>IF(D72="","",IFERROR(VLOOKUP(D72,'Instellingen'!$D$5:$E$13,2,FALSE),""))</x:f>
        <x:v>100</x:v>
      </x:c>
      <x:c r="J72" t="n">
        <x:f>IF(C72="","",IF(C72="Ja",100,0))</x:f>
        <x:v>0</x:v>
      </x:c>
      <x:c r="K72" t="n">
        <x:f>IF(D72="","",SUM(I72*'Instellingen'!$B$5,J72*'Instellingen'!$B$6,IFERROR(E72/MAX($E$6:$E$167)*100,0)*'Instellingen'!$B$7,IFERROR(F72/MAX($F$6:$F$167)*100,0)*'Instellingen'!$B$8,IFERROR(G72/MAX($G$6:$G$167)*100,0)*'Instellingen'!$B$9,IFERROR(H72/MAX($H$6:$H$167)*100,0)*'Instellingen'!$B$10)/SUM('Instellingen'!$B$5:$B$10))</x:f>
        <x:v>40.77152840290477</x:v>
      </x:c>
      <x:c r="L72" t="n">
        <x:f>IF(K72="","",ROUND(('Instellingen'!$B$16+('Instellingen'!$B$17-'Instellingen'!$B$16)*POWER(K72/100,'Instellingen'!$B$18))/'Instellingen'!$B$19,0)*'Instellingen'!$B$19)</x:f>
        <x:v>955</x:v>
      </x:c>
      <x:c r="M72"/>
      <x:c r="N72" t="n">
        <x:f>IF(L72="","",MAX('Instellingen'!$B$16,MIN('Instellingen'!$B$17,L72+IF(M72="",0,M72))))</x:f>
        <x:v>955</x:v>
      </x:c>
      <x:c r="O72" t="str">
        <x:f>IF(N72="","",IF(N72&gt;='Instellingen'!$B$22,"Absolute top",IF(N72&gt;='Instellingen'!$B$23,"Kopman",IF(N72&gt;='Instellingen'!$B$24,"Sterke keuze",IF(N72&gt;='Instellingen'!$B$25,"Bruikbaar","Gok")))))</x:f>
        <x:v>Bruikbaar</x:v>
      </x:c>
      <x:c r="P72" t="str">
        <x:f>IF(A72="","",IF(D72="","Rol invullen","Compleet"))</x:f>
        <x:v>Compleet</x:v>
      </x:c>
      <x:c r="Q72" t="str">
        <x:v>https://www.procyclingstats.com/rider/steven-kruijswijk</x:v>
      </x:c>
    </x:row>
    <x:row r="73">
      <x:c r="A73" t="str">
        <x:v>LAPORTE Christophe</x:v>
      </x:c>
      <x:c r="B73" t="str">
        <x:v>Team Visma | Lease a Bike</x:v>
      </x:c>
      <x:c r="C73" t="str">
        <x:v>Nee</x:v>
      </x:c>
      <x:c r="D73" t="str">
        <x:v>Kopman punten</x:v>
      </x:c>
      <x:c r="E73" t="n">
        <x:v>1135</x:v>
      </x:c>
      <x:c r="F73" t="n">
        <x:v>7271</x:v>
      </x:c>
      <x:c r="G73" t="n">
        <x:v>403</x:v>
      </x:c>
      <x:c r="H73" t="n">
        <x:v>989</x:v>
      </x:c>
      <x:c r="I73" t="n">
        <x:f>IF(D73="","",IFERROR(VLOOKUP(D73,'Instellingen'!$D$5:$E$13,2,FALSE),""))</x:f>
        <x:v>90</x:v>
      </x:c>
      <x:c r="J73" t="n">
        <x:f>IF(C73="","",IF(C73="Ja",100,0))</x:f>
        <x:v>0</x:v>
      </x:c>
      <x:c r="K73" t="n">
        <x:f>IF(D73="","",SUM(I73*'Instellingen'!$B$5,J73*'Instellingen'!$B$6,IFERROR(E73/MAX($E$6:$E$167)*100,0)*'Instellingen'!$B$7,IFERROR(F73/MAX($F$6:$F$167)*100,0)*'Instellingen'!$B$8,IFERROR(G73/MAX($G$6:$G$167)*100,0)*'Instellingen'!$B$9,IFERROR(H73/MAX($H$6:$H$167)*100,0)*'Instellingen'!$B$10)/SUM('Instellingen'!$B$5:$B$10))</x:f>
        <x:v>32.24122087769247</x:v>
      </x:c>
      <x:c r="L73" t="n">
        <x:f>IF(K73="","",ROUND(('Instellingen'!$B$16+('Instellingen'!$B$17-'Instellingen'!$B$16)*POWER(K73/100,'Instellingen'!$B$18))/'Instellingen'!$B$19,0)*'Instellingen'!$B$19)</x:f>
        <x:v>777</x:v>
      </x:c>
      <x:c r="M73"/>
      <x:c r="N73" t="n">
        <x:f>IF(L73="","",MAX('Instellingen'!$B$16,MIN('Instellingen'!$B$17,L73+IF(M73="",0,M73))))</x:f>
        <x:v>777</x:v>
      </x:c>
      <x:c r="O73" t="str">
        <x:f>IF(N73="","",IF(N73&gt;='Instellingen'!$B$22,"Absolute top",IF(N73&gt;='Instellingen'!$B$23,"Kopman",IF(N73&gt;='Instellingen'!$B$24,"Sterke keuze",IF(N73&gt;='Instellingen'!$B$25,"Bruikbaar","Gok")))))</x:f>
        <x:v>Bruikbaar</x:v>
      </x:c>
      <x:c r="P73" t="str">
        <x:f>IF(A73="","",IF(D73="","Rol invullen","Compleet"))</x:f>
        <x:v>Compleet</x:v>
      </x:c>
      <x:c r="Q73" t="str">
        <x:v>https://www.procyclingstats.com/rider/christophe-laporte</x:v>
      </x:c>
    </x:row>
    <x:row r="74">
      <x:c r="A74" t="str">
        <x:v>POGAČAR Tadej</x:v>
      </x:c>
      <x:c r="B74" t="str">
        <x:v>UAE Team Emirates - XRG</x:v>
      </x:c>
      <x:c r="C74" t="str">
        <x:v>Nee</x:v>
      </x:c>
      <x:c r="D74" t="str">
        <x:v>Kopman AK</x:v>
      </x:c>
      <x:c r="E74" t="n">
        <x:v>8344</x:v>
      </x:c>
      <x:c r="F74" t="n">
        <x:v>10343</x:v>
      </x:c>
      <x:c r="G74" t="n">
        <x:v>10882</x:v>
      </x:c>
      <x:c r="H74" t="n">
        <x:v>3587</x:v>
      </x:c>
      <x:c r="I74" t="n">
        <x:f>IF(D74="","",IFERROR(VLOOKUP(D74,'Instellingen'!$D$5:$E$13,2,FALSE),""))</x:f>
        <x:v>100</x:v>
      </x:c>
      <x:c r="J74" t="n">
        <x:f>IF(C74="","",IF(C74="Ja",100,0))</x:f>
        <x:v>0</x:v>
      </x:c>
      <x:c r="K74" t="n">
        <x:f>IF(D74="","",SUM(I74*'Instellingen'!$B$5,J74*'Instellingen'!$B$6,IFERROR(E74/MAX($E$6:$E$167)*100,0)*'Instellingen'!$B$7,IFERROR(F74/MAX($F$6:$F$167)*100,0)*'Instellingen'!$B$8,IFERROR(G74/MAX($G$6:$G$167)*100,0)*'Instellingen'!$B$9,IFERROR(H74/MAX($H$6:$H$167)*100,0)*'Instellingen'!$B$10)/SUM('Instellingen'!$B$5:$B$10))</x:f>
        <x:v>84.97524098100283</x:v>
      </x:c>
      <x:c r="L74" t="n">
        <x:f>IF(K74="","",ROUND(('Instellingen'!$B$16+('Instellingen'!$B$17-'Instellingen'!$B$16)*POWER(K74/100,'Instellingen'!$B$18))/'Instellingen'!$B$19,0)*'Instellingen'!$B$19)</x:f>
        <x:v>2066</x:v>
      </x:c>
      <x:c r="M74"/>
      <x:c r="N74" t="n">
        <x:f>IF(L74="","",MAX('Instellingen'!$B$16,MIN('Instellingen'!$B$17,L74+IF(M74="",0,M74))))</x:f>
        <x:v>2066</x:v>
      </x:c>
      <x:c r="O74" t="str">
        <x:f>IF(N74="","",IF(N74&gt;='Instellingen'!$B$22,"Absolute top",IF(N74&gt;='Instellingen'!$B$23,"Kopman",IF(N74&gt;='Instellingen'!$B$24,"Sterke keuze",IF(N74&gt;='Instellingen'!$B$25,"Bruikbaar","Gok")))))</x:f>
        <x:v>Kopman</x:v>
      </x:c>
      <x:c r="P74" t="str">
        <x:f>IF(A74="","",IF(D74="","Rol invullen","Compleet"))</x:f>
        <x:v>Compleet</x:v>
      </x:c>
      <x:c r="Q74" t="str">
        <x:v>https://www.procyclingstats.com/rider/tadej-pogacar</x:v>
      </x:c>
    </x:row>
    <x:row r="75">
      <x:c r="A75" t="str">
        <x:v>ALMEIDA João</x:v>
      </x:c>
      <x:c r="B75" t="str">
        <x:v>UAE Team Emirates - XRG</x:v>
      </x:c>
      <x:c r="C75" t="str">
        <x:v>Nee</x:v>
      </x:c>
      <x:c r="D75" t="str">
        <x:v>Kopman AK</x:v>
      </x:c>
      <x:c r="E75" t="n">
        <x:v>5449</x:v>
      </x:c>
      <x:c r="F75" t="n">
        <x:v>478</x:v>
      </x:c>
      <x:c r="G75" t="n">
        <x:v>4868</x:v>
      </x:c>
      <x:c r="H75" t="n">
        <x:v>2996</x:v>
      </x:c>
      <x:c r="I75" t="n">
        <x:f>IF(D75="","",IFERROR(VLOOKUP(D75,'Instellingen'!$D$5:$E$13,2,FALSE),""))</x:f>
        <x:v>100</x:v>
      </x:c>
      <x:c r="J75" t="n">
        <x:f>IF(C75="","",IF(C75="Ja",100,0))</x:f>
        <x:v>0</x:v>
      </x:c>
      <x:c r="K75" t="n">
        <x:f>IF(D75="","",SUM(I75*'Instellingen'!$B$5,J75*'Instellingen'!$B$6,IFERROR(E75/MAX($E$6:$E$167)*100,0)*'Instellingen'!$B$7,IFERROR(F75/MAX($F$6:$F$167)*100,0)*'Instellingen'!$B$8,IFERROR(G75/MAX($G$6:$G$167)*100,0)*'Instellingen'!$B$9,IFERROR(H75/MAX($H$6:$H$167)*100,0)*'Instellingen'!$B$10)/SUM('Instellingen'!$B$5:$B$10))</x:f>
        <x:v>47.08534599573599</x:v>
      </x:c>
      <x:c r="L75" t="n">
        <x:f>IF(K75="","",ROUND(('Instellingen'!$B$16+('Instellingen'!$B$17-'Instellingen'!$B$16)*POWER(K75/100,'Instellingen'!$B$18))/'Instellingen'!$B$19,0)*'Instellingen'!$B$19)</x:f>
        <x:v>1096</x:v>
      </x:c>
      <x:c r="M75"/>
      <x:c r="N75" t="n">
        <x:f>IF(L75="","",MAX('Instellingen'!$B$16,MIN('Instellingen'!$B$17,L75+IF(M75="",0,M75))))</x:f>
        <x:v>1096</x:v>
      </x:c>
      <x:c r="O75" t="str">
        <x:f>IF(N75="","",IF(N75&gt;='Instellingen'!$B$22,"Absolute top",IF(N75&gt;='Instellingen'!$B$23,"Kopman",IF(N75&gt;='Instellingen'!$B$24,"Sterke keuze",IF(N75&gt;='Instellingen'!$B$25,"Bruikbaar","Gok")))))</x:f>
        <x:v>Bruikbaar</x:v>
      </x:c>
      <x:c r="P75" t="str">
        <x:f>IF(A75="","",IF(D75="","Rol invullen","Compleet"))</x:f>
        <x:v>Compleet</x:v>
      </x:c>
      <x:c r="Q75" t="str">
        <x:v>https://www.procyclingstats.com/rider/joao-almeida</x:v>
      </x:c>
    </x:row>
    <x:row r="76">
      <x:c r="A76" t="str">
        <x:v>VINE Jay</x:v>
      </x:c>
      <x:c r="B76" t="str">
        <x:v>UAE Team Emirates - XRG</x:v>
      </x:c>
      <x:c r="C76" t="str">
        <x:v>Nee</x:v>
      </x:c>
      <x:c r="D76" t="str">
        <x:v>Vrijbuiter</x:v>
      </x:c>
      <x:c r="E76" t="n">
        <x:v>1283</x:v>
      </x:c>
      <x:c r="F76" t="n">
        <x:v>191</x:v>
      </x:c>
      <x:c r="G76" t="n">
        <x:v>1380</x:v>
      </x:c>
      <x:c r="H76" t="n">
        <x:v>1722</x:v>
      </x:c>
      <x:c r="I76" t="n">
        <x:f>IF(D76="","",IFERROR(VLOOKUP(D76,'Instellingen'!$D$5:$E$13,2,FALSE),""))</x:f>
        <x:v>65</x:v>
      </x:c>
      <x:c r="J76" t="n">
        <x:f>IF(C76="","",IF(C76="Ja",100,0))</x:f>
        <x:v>0</x:v>
      </x:c>
      <x:c r="K76" t="n">
        <x:f>IF(D76="","",SUM(I76*'Instellingen'!$B$5,J76*'Instellingen'!$B$6,IFERROR(E76/MAX($E$6:$E$167)*100,0)*'Instellingen'!$B$7,IFERROR(F76/MAX($F$6:$F$167)*100,0)*'Instellingen'!$B$8,IFERROR(G76/MAX($G$6:$G$167)*100,0)*'Instellingen'!$B$9,IFERROR(H76/MAX($H$6:$H$167)*100,0)*'Instellingen'!$B$10)/SUM('Instellingen'!$B$5:$B$10))</x:f>
        <x:v>18.56339002442362</x:v>
      </x:c>
      <x:c r="L76" t="n">
        <x:f>IF(K76="","",ROUND(('Instellingen'!$B$16+('Instellingen'!$B$17-'Instellingen'!$B$16)*POWER(K76/100,'Instellingen'!$B$18))/'Instellingen'!$B$19,0)*'Instellingen'!$B$19)</x:f>
        <x:v>527</x:v>
      </x:c>
      <x:c r="M76"/>
      <x:c r="N76" t="n">
        <x:f>IF(L76="","",MAX('Instellingen'!$B$16,MIN('Instellingen'!$B$17,L76+IF(M76="",0,M76))))</x:f>
        <x:v>527</x:v>
      </x:c>
      <x:c r="O76" t="str">
        <x:f>IF(N76="","",IF(N76&gt;='Instellingen'!$B$22,"Absolute top",IF(N76&gt;='Instellingen'!$B$23,"Kopman",IF(N76&gt;='Instellingen'!$B$24,"Sterke keuze",IF(N76&gt;='Instellingen'!$B$25,"Bruikbaar","Gok")))))</x:f>
        <x:v>Gok</x:v>
      </x:c>
      <x:c r="P76" t="str">
        <x:f>IF(A76="","",IF(D76="","Rol invullen","Compleet"))</x:f>
        <x:v>Compleet</x:v>
      </x:c>
      <x:c r="Q76" t="str">
        <x:v>https://www.procyclingstats.com/rider/jay-vine</x:v>
      </x:c>
    </x:row>
    <x:row r="77">
      <x:c r="A77" t="str">
        <x:v>SIVAKOV Pavel</x:v>
      </x:c>
      <x:c r="B77" t="str">
        <x:v>UAE Team Emirates - XRG</x:v>
      </x:c>
      <x:c r="C77" t="str">
        <x:v>Nee</x:v>
      </x:c>
      <x:c r="D77" t="str">
        <x:v>Kopman AK</x:v>
      </x:c>
      <x:c r="E77" t="n">
        <x:v>2668</x:v>
      </x:c>
      <x:c r="F77" t="n">
        <x:v>1487</x:v>
      </x:c>
      <x:c r="G77" t="n">
        <x:v>2134</x:v>
      </x:c>
      <x:c r="H77" t="n">
        <x:v>506</x:v>
      </x:c>
      <x:c r="I77" t="n">
        <x:f>IF(D77="","",IFERROR(VLOOKUP(D77,'Instellingen'!$D$5:$E$13,2,FALSE),""))</x:f>
        <x:v>100</x:v>
      </x:c>
      <x:c r="J77" t="n">
        <x:f>IF(C77="","",IF(C77="Ja",100,0))</x:f>
        <x:v>0</x:v>
      </x:c>
      <x:c r="K77" t="n">
        <x:f>IF(D77="","",SUM(I77*'Instellingen'!$B$5,J77*'Instellingen'!$B$6,IFERROR(E77/MAX($E$6:$E$167)*100,0)*'Instellingen'!$B$7,IFERROR(F77/MAX($F$6:$F$167)*100,0)*'Instellingen'!$B$8,IFERROR(G77/MAX($G$6:$G$167)*100,0)*'Instellingen'!$B$9,IFERROR(H77/MAX($H$6:$H$167)*100,0)*'Instellingen'!$B$10)/SUM('Instellingen'!$B$5:$B$10))</x:f>
        <x:v>31.81506915071144</x:v>
      </x:c>
      <x:c r="L77" t="n">
        <x:f>IF(K77="","",ROUND(('Instellingen'!$B$16+('Instellingen'!$B$17-'Instellingen'!$B$16)*POWER(K77/100,'Instellingen'!$B$18))/'Instellingen'!$B$19,0)*'Instellingen'!$B$19)</x:f>
        <x:v>769</x:v>
      </x:c>
      <x:c r="M77"/>
      <x:c r="N77" t="n">
        <x:f>IF(L77="","",MAX('Instellingen'!$B$16,MIN('Instellingen'!$B$17,L77+IF(M77="",0,M77))))</x:f>
        <x:v>769</x:v>
      </x:c>
      <x:c r="O77" t="str">
        <x:f>IF(N77="","",IF(N77&gt;='Instellingen'!$B$22,"Absolute top",IF(N77&gt;='Instellingen'!$B$23,"Kopman",IF(N77&gt;='Instellingen'!$B$24,"Sterke keuze",IF(N77&gt;='Instellingen'!$B$25,"Bruikbaar","Gok")))))</x:f>
        <x:v>Bruikbaar</x:v>
      </x:c>
      <x:c r="P77" t="str">
        <x:f>IF(A77="","",IF(D77="","Rol invullen","Compleet"))</x:f>
        <x:v>Compleet</x:v>
      </x:c>
      <x:c r="Q77" t="str">
        <x:v>https://www.procyclingstats.com/rider/pavel-sivakov</x:v>
      </x:c>
    </x:row>
    <x:row r="78">
      <x:c r="A78" t="str">
        <x:v>TORRES Pablo</x:v>
      </x:c>
      <x:c r="B78" t="str">
        <x:v>UAE Team Emirates - XRG</x:v>
      </x:c>
      <x:c r="C78" t="str">
        <x:v>Ja</x:v>
      </x:c>
      <x:c r="D78" t="str">
        <x:v>Knecht</x:v>
      </x:c>
      <x:c r="E78" t="n">
        <x:v>174</x:v>
      </x:c>
      <x:c r="F78" t="n">
        <x:v>93</x:v>
      </x:c>
      <x:c r="G78" t="n">
        <x:v>83</x:v>
      </x:c>
      <x:c r="H78" t="n">
        <x:v>0</x:v>
      </x:c>
      <x:c r="I78" t="n">
        <x:f>IF(D78="","",IFERROR(VLOOKUP(D78,'Instellingen'!$D$5:$E$13,2,FALSE),""))</x:f>
        <x:v>30</x:v>
      </x:c>
      <x:c r="J78" t="n">
        <x:f>IF(C78="","",IF(C78="Ja",100,0))</x:f>
        <x:v>100</x:v>
      </x:c>
      <x:c r="K78" t="n">
        <x:f>IF(D78="","",SUM(I78*'Instellingen'!$B$5,J78*'Instellingen'!$B$6,IFERROR(E78/MAX($E$6:$E$167)*100,0)*'Instellingen'!$B$7,IFERROR(F78/MAX($F$6:$F$167)*100,0)*'Instellingen'!$B$8,IFERROR(G78/MAX($G$6:$G$167)*100,0)*'Instellingen'!$B$9,IFERROR(H78/MAX($H$6:$H$167)*100,0)*'Instellingen'!$B$10)/SUM('Instellingen'!$B$5:$B$10))</x:f>
        <x:v>15.486287376820616</x:v>
      </x:c>
      <x:c r="L78" t="n">
        <x:f>IF(K78="","",ROUND(('Instellingen'!$B$16+('Instellingen'!$B$17-'Instellingen'!$B$16)*POWER(K78/100,'Instellingen'!$B$18))/'Instellingen'!$B$19,0)*'Instellingen'!$B$19)</x:f>
        <x:v>477</x:v>
      </x:c>
      <x:c r="M78"/>
      <x:c r="N78" t="n">
        <x:f>IF(L78="","",MAX('Instellingen'!$B$16,MIN('Instellingen'!$B$17,L78+IF(M78="",0,M78))))</x:f>
        <x:v>477</x:v>
      </x:c>
      <x:c r="O78" t="str">
        <x:f>IF(N78="","",IF(N78&gt;='Instellingen'!$B$22,"Absolute top",IF(N78&gt;='Instellingen'!$B$23,"Kopman",IF(N78&gt;='Instellingen'!$B$24,"Sterke keuze",IF(N78&gt;='Instellingen'!$B$25,"Bruikbaar","Gok")))))</x:f>
        <x:v>Gok</x:v>
      </x:c>
      <x:c r="P78" t="str">
        <x:f>IF(A78="","",IF(D78="","Rol invullen","Compleet"))</x:f>
        <x:v>Compleet</x:v>
      </x:c>
      <x:c r="Q78" t="str">
        <x:v>https://www.procyclingstats.com/rider/pablo-torres-arias</x:v>
      </x:c>
    </x:row>
    <x:row r="79">
      <x:c r="A79" t="str">
        <x:v>VERMAERKE Kevin</x:v>
      </x:c>
      <x:c r="B79" t="str">
        <x:v>UAE Team Emirates - XRG</x:v>
      </x:c>
      <x:c r="C79" t="str">
        <x:v>Nee</x:v>
      </x:c>
      <x:c r="D79" t="str">
        <x:v>Meesterknecht</x:v>
      </x:c>
      <x:c r="E79" t="n">
        <x:v>896</x:v>
      </x:c>
      <x:c r="F79" t="n">
        <x:v>699</x:v>
      </x:c>
      <x:c r="G79" t="n">
        <x:v>812</x:v>
      </x:c>
      <x:c r="H79" t="n">
        <x:v>29</x:v>
      </x:c>
      <x:c r="I79" t="n">
        <x:f>IF(D79="","",IFERROR(VLOOKUP(D79,'Instellingen'!$D$5:$E$13,2,FALSE),""))</x:f>
        <x:v>55</x:v>
      </x:c>
      <x:c r="J79" t="n">
        <x:f>IF(C79="","",IF(C79="Ja",100,0))</x:f>
        <x:v>0</x:v>
      </x:c>
      <x:c r="K79" t="n">
        <x:f>IF(D79="","",SUM(I79*'Instellingen'!$B$5,J79*'Instellingen'!$B$6,IFERROR(E79/MAX($E$6:$E$167)*100,0)*'Instellingen'!$B$7,IFERROR(F79/MAX($F$6:$F$167)*100,0)*'Instellingen'!$B$8,IFERROR(G79/MAX($G$6:$G$167)*100,0)*'Instellingen'!$B$9,IFERROR(H79/MAX($H$6:$H$167)*100,0)*'Instellingen'!$B$10)/SUM('Instellingen'!$B$5:$B$10))</x:f>
        <x:v>14.268859970220513</x:v>
      </x:c>
      <x:c r="L79" t="n">
        <x:f>IF(K79="","",ROUND(('Instellingen'!$B$16+('Instellingen'!$B$17-'Instellingen'!$B$16)*POWER(K79/100,'Instellingen'!$B$18))/'Instellingen'!$B$19,0)*'Instellingen'!$B$19)</x:f>
        <x:v>459</x:v>
      </x:c>
      <x:c r="M79"/>
      <x:c r="N79" t="n">
        <x:f>IF(L79="","",MAX('Instellingen'!$B$16,MIN('Instellingen'!$B$17,L79+IF(M79="",0,M79))))</x:f>
        <x:v>459</x:v>
      </x:c>
      <x:c r="O79" t="str">
        <x:f>IF(N79="","",IF(N79&gt;='Instellingen'!$B$22,"Absolute top",IF(N79&gt;='Instellingen'!$B$23,"Kopman",IF(N79&gt;='Instellingen'!$B$24,"Sterke keuze",IF(N79&gt;='Instellingen'!$B$25,"Bruikbaar","Gok")))))</x:f>
        <x:v>Gok</x:v>
      </x:c>
      <x:c r="P79" t="str">
        <x:f>IF(A79="","",IF(D79="","Rol invullen","Compleet"))</x:f>
        <x:v>Compleet</x:v>
      </x:c>
      <x:c r="Q79" t="str">
        <x:v>https://www.procyclingstats.com/rider/kevin-vermaerke</x:v>
      </x:c>
    </x:row>
    <x:row r="80">
      <x:c r="A80" t="str">
        <x:v>OLIVEIRA Ivo</x:v>
      </x:c>
      <x:c r="B80" t="str">
        <x:v>UAE Team Emirates - XRG</x:v>
      </x:c>
      <x:c r="C80" t="str">
        <x:v>Nee</x:v>
      </x:c>
      <x:c r="D80" t="str">
        <x:v>Meesterknecht</x:v>
      </x:c>
      <x:c r="E80" t="n">
        <x:v>259</x:v>
      </x:c>
      <x:c r="F80" t="n">
        <x:v>247</x:v>
      </x:c>
      <x:c r="G80" t="n">
        <x:v>74</x:v>
      </x:c>
      <x:c r="H80" t="n">
        <x:v>970</x:v>
      </x:c>
      <x:c r="I80" t="n">
        <x:f>IF(D80="","",IFERROR(VLOOKUP(D80,'Instellingen'!$D$5:$E$13,2,FALSE),""))</x:f>
        <x:v>55</x:v>
      </x:c>
      <x:c r="J80" t="n">
        <x:f>IF(C80="","",IF(C80="Ja",100,0))</x:f>
        <x:v>0</x:v>
      </x:c>
      <x:c r="K80" t="n">
        <x:f>IF(D80="","",SUM(I80*'Instellingen'!$B$5,J80*'Instellingen'!$B$6,IFERROR(E80/MAX($E$6:$E$167)*100,0)*'Instellingen'!$B$7,IFERROR(F80/MAX($F$6:$F$167)*100,0)*'Instellingen'!$B$8,IFERROR(G80/MAX($G$6:$G$167)*100,0)*'Instellingen'!$B$9,IFERROR(H80/MAX($H$6:$H$167)*100,0)*'Instellingen'!$B$10)/SUM('Instellingen'!$B$5:$B$10))</x:f>
        <x:v>10.602616629660368</x:v>
      </x:c>
      <x:c r="L80" t="n">
        <x:f>IF(K80="","",ROUND(('Instellingen'!$B$16+('Instellingen'!$B$17-'Instellingen'!$B$16)*POWER(K80/100,'Instellingen'!$B$18))/'Instellingen'!$B$19,0)*'Instellingen'!$B$19)</x:f>
        <x:v>406</x:v>
      </x:c>
      <x:c r="M80"/>
      <x:c r="N80" t="n">
        <x:f>IF(L80="","",MAX('Instellingen'!$B$16,MIN('Instellingen'!$B$17,L80+IF(M80="",0,M80))))</x:f>
        <x:v>406</x:v>
      </x:c>
      <x:c r="O80" t="str">
        <x:f>IF(N80="","",IF(N80&gt;='Instellingen'!$B$22,"Absolute top",IF(N80&gt;='Instellingen'!$B$23,"Kopman",IF(N80&gt;='Instellingen'!$B$24,"Sterke keuze",IF(N80&gt;='Instellingen'!$B$25,"Bruikbaar","Gok")))))</x:f>
        <x:v>Gok</x:v>
      </x:c>
      <x:c r="P80" t="str">
        <x:f>IF(A80="","",IF(D80="","Rol invullen","Compleet"))</x:f>
        <x:v>Compleet</x:v>
      </x:c>
      <x:c r="Q80" t="str">
        <x:v>https://www.procyclingstats.com/rider/ivo-emanuel-alves</x:v>
      </x:c>
    </x:row>
    <x:row r="81">
      <x:c r="A81" t="str">
        <x:v>NOVAK Domen</x:v>
      </x:c>
      <x:c r="B81" t="str">
        <x:v>UAE Team Emirates - XRG</x:v>
      </x:c>
      <x:c r="C81" t="str">
        <x:v>Nee</x:v>
      </x:c>
      <x:c r="D81" t="str">
        <x:v>Knecht</x:v>
      </x:c>
      <x:c r="E81" t="n">
        <x:v>515</x:v>
      </x:c>
      <x:c r="F81" t="n">
        <x:v>106</x:v>
      </x:c>
      <x:c r="G81" t="n">
        <x:v>288</x:v>
      </x:c>
      <x:c r="H81" t="n">
        <x:v>28</x:v>
      </x:c>
      <x:c r="I81" t="n">
        <x:f>IF(D81="","",IFERROR(VLOOKUP(D81,'Instellingen'!$D$5:$E$13,2,FALSE),""))</x:f>
        <x:v>30</x:v>
      </x:c>
      <x:c r="J81" t="n">
        <x:f>IF(C81="","",IF(C81="Ja",100,0))</x:f>
        <x:v>0</x:v>
      </x:c>
      <x:c r="K81" t="n">
        <x:f>IF(D81="","",SUM(I81*'Instellingen'!$B$5,J81*'Instellingen'!$B$6,IFERROR(E81/MAX($E$6:$E$167)*100,0)*'Instellingen'!$B$7,IFERROR(F81/MAX($F$6:$F$167)*100,0)*'Instellingen'!$B$8,IFERROR(G81/MAX($G$6:$G$167)*100,0)*'Instellingen'!$B$9,IFERROR(H81/MAX($H$6:$H$167)*100,0)*'Instellingen'!$B$10)/SUM('Instellingen'!$B$5:$B$10))</x:f>
        <x:v>7.20183463877642</x:v>
      </x:c>
      <x:c r="L81" t="n">
        <x:f>IF(K81="","",ROUND(('Instellingen'!$B$16+('Instellingen'!$B$17-'Instellingen'!$B$16)*POWER(K81/100,'Instellingen'!$B$18))/'Instellingen'!$B$19,0)*'Instellingen'!$B$19)</x:f>
        <x:v>363</x:v>
      </x:c>
      <x:c r="M81"/>
      <x:c r="N81" t="n">
        <x:f>IF(L81="","",MAX('Instellingen'!$B$16,MIN('Instellingen'!$B$17,L81+IF(M81="",0,M81))))</x:f>
        <x:v>363</x:v>
      </x:c>
      <x:c r="O81" t="str">
        <x:f>IF(N81="","",IF(N81&gt;='Instellingen'!$B$22,"Absolute top",IF(N81&gt;='Instellingen'!$B$23,"Kopman",IF(N81&gt;='Instellingen'!$B$24,"Sterke keuze",IF(N81&gt;='Instellingen'!$B$25,"Bruikbaar","Gok")))))</x:f>
        <x:v>Gok</x:v>
      </x:c>
      <x:c r="P81" t="str">
        <x:f>IF(A81="","",IF(D81="","Rol invullen","Compleet"))</x:f>
        <x:v>Compleet</x:v>
      </x:c>
      <x:c r="Q81" t="str">
        <x:v>https://www.procyclingstats.com/rider/domen-novak</x:v>
      </x:c>
    </x:row>
    <x:row r="82">
      <x:c r="A82" t="str">
        <x:v>CORT Magnus</x:v>
      </x:c>
      <x:c r="B82" t="str">
        <x:v>Uno-X Mobility</x:v>
      </x:c>
      <x:c r="C82" t="str">
        <x:v>Nee</x:v>
      </x:c>
      <x:c r="D82" t="str">
        <x:v>Kopman punten</x:v>
      </x:c>
      <x:c r="E82" t="n">
        <x:v>1493</x:v>
      </x:c>
      <x:c r="F82" t="n">
        <x:v>3633</x:v>
      </x:c>
      <x:c r="G82" t="n">
        <x:v>1234</x:v>
      </x:c>
      <x:c r="H82" t="n">
        <x:v>825</x:v>
      </x:c>
      <x:c r="I82" t="n">
        <x:f>IF(D82="","",IFERROR(VLOOKUP(D82,'Instellingen'!$D$5:$E$13,2,FALSE),""))</x:f>
        <x:v>90</x:v>
      </x:c>
      <x:c r="J82" t="n">
        <x:f>IF(C82="","",IF(C82="Ja",100,0))</x:f>
        <x:v>0</x:v>
      </x:c>
      <x:c r="K82" t="n">
        <x:f>IF(D82="","",SUM(I82*'Instellingen'!$B$5,J82*'Instellingen'!$B$6,IFERROR(E82/MAX($E$6:$E$167)*100,0)*'Instellingen'!$B$7,IFERROR(F82/MAX($F$6:$F$167)*100,0)*'Instellingen'!$B$8,IFERROR(G82/MAX($G$6:$G$167)*100,0)*'Instellingen'!$B$9,IFERROR(H82/MAX($H$6:$H$167)*100,0)*'Instellingen'!$B$10)/SUM('Instellingen'!$B$5:$B$10))</x:f>
        <x:v>28.31646319527627</x:v>
      </x:c>
      <x:c r="L82" t="n">
        <x:f>IF(K82="","",ROUND(('Instellingen'!$B$16+('Instellingen'!$B$17-'Instellingen'!$B$16)*POWER(K82/100,'Instellingen'!$B$18))/'Instellingen'!$B$19,0)*'Instellingen'!$B$19)</x:f>
        <x:v>701</x:v>
      </x:c>
      <x:c r="M82"/>
      <x:c r="N82" t="n">
        <x:f>IF(L82="","",MAX('Instellingen'!$B$16,MIN('Instellingen'!$B$17,L82+IF(M82="",0,M82))))</x:f>
        <x:v>701</x:v>
      </x:c>
      <x:c r="O82" t="str">
        <x:f>IF(N82="","",IF(N82&gt;='Instellingen'!$B$22,"Absolute top",IF(N82&gt;='Instellingen'!$B$23,"Kopman",IF(N82&gt;='Instellingen'!$B$24,"Sterke keuze",IF(N82&gt;='Instellingen'!$B$25,"Bruikbaar","Gok")))))</x:f>
        <x:v>Bruikbaar</x:v>
      </x:c>
      <x:c r="P82" t="str">
        <x:f>IF(A82="","",IF(D82="","Rol invullen","Compleet"))</x:f>
        <x:v>Compleet</x:v>
      </x:c>
      <x:c r="Q82" t="str">
        <x:v>https://www.procyclingstats.com/rider/magnus-cort-nielsen</x:v>
      </x:c>
    </x:row>
    <x:row r="83">
      <x:c r="A83" t="str">
        <x:v>KRON Andreas</x:v>
      </x:c>
      <x:c r="B83" t="str">
        <x:v>Uno-X Mobility</x:v>
      </x:c>
      <x:c r="C83" t="str">
        <x:v>Nee</x:v>
      </x:c>
      <x:c r="D83" t="str">
        <x:v>Meesterknecht</x:v>
      </x:c>
      <x:c r="E83" t="n">
        <x:v>624</x:v>
      </x:c>
      <x:c r="F83" t="n">
        <x:v>965</x:v>
      </x:c>
      <x:c r="G83" t="n">
        <x:v>1133</x:v>
      </x:c>
      <x:c r="H83" t="n">
        <x:v>9</x:v>
      </x:c>
      <x:c r="I83" t="n">
        <x:f>IF(D83="","",IFERROR(VLOOKUP(D83,'Instellingen'!$D$5:$E$13,2,FALSE),""))</x:f>
        <x:v>55</x:v>
      </x:c>
      <x:c r="J83" t="n">
        <x:f>IF(C83="","",IF(C83="Ja",100,0))</x:f>
        <x:v>0</x:v>
      </x:c>
      <x:c r="K83" t="n">
        <x:f>IF(D83="","",SUM(I83*'Instellingen'!$B$5,J83*'Instellingen'!$B$6,IFERROR(E83/MAX($E$6:$E$167)*100,0)*'Instellingen'!$B$7,IFERROR(F83/MAX($F$6:$F$167)*100,0)*'Instellingen'!$B$8,IFERROR(G83/MAX($G$6:$G$167)*100,0)*'Instellingen'!$B$9,IFERROR(H83/MAX($H$6:$H$167)*100,0)*'Instellingen'!$B$10)/SUM('Instellingen'!$B$5:$B$10))</x:f>
        <x:v>14.056247917289099</x:v>
      </x:c>
      <x:c r="L83" t="n">
        <x:f>IF(K83="","",ROUND(('Instellingen'!$B$16+('Instellingen'!$B$17-'Instellingen'!$B$16)*POWER(K83/100,'Instellingen'!$B$18))/'Instellingen'!$B$19,0)*'Instellingen'!$B$19)</x:f>
        <x:v>456</x:v>
      </x:c>
      <x:c r="M83"/>
      <x:c r="N83" t="n">
        <x:f>IF(L83="","",MAX('Instellingen'!$B$16,MIN('Instellingen'!$B$17,L83+IF(M83="",0,M83))))</x:f>
        <x:v>456</x:v>
      </x:c>
      <x:c r="O83" t="str">
        <x:f>IF(N83="","",IF(N83&gt;='Instellingen'!$B$22,"Absolute top",IF(N83&gt;='Instellingen'!$B$23,"Kopman",IF(N83&gt;='Instellingen'!$B$24,"Sterke keuze",IF(N83&gt;='Instellingen'!$B$25,"Bruikbaar","Gok")))))</x:f>
        <x:v>Gok</x:v>
      </x:c>
      <x:c r="P83" t="str">
        <x:f>IF(A83="","",IF(D83="","Rol invullen","Compleet"))</x:f>
        <x:v>Compleet</x:v>
      </x:c>
      <x:c r="Q83" t="str">
        <x:v>https://www.procyclingstats.com/rider/andreas-kron</x:v>
      </x:c>
    </x:row>
    <x:row r="84">
      <x:c r="A84" t="str">
        <x:v>LEKNESSUND Andreas</x:v>
      </x:c>
      <x:c r="B84" t="str">
        <x:v>Uno-X Mobility</x:v>
      </x:c>
      <x:c r="C84" t="str">
        <x:v>Nee</x:v>
      </x:c>
      <x:c r="D84" t="str">
        <x:v>Meesterknecht</x:v>
      </x:c>
      <x:c r="E84" t="n">
        <x:v>1281</x:v>
      </x:c>
      <x:c r="F84" t="n">
        <x:v>390</x:v>
      </x:c>
      <x:c r="G84" t="n">
        <x:v>928</x:v>
      </x:c>
      <x:c r="H84" t="n">
        <x:v>705</x:v>
      </x:c>
      <x:c r="I84" t="n">
        <x:f>IF(D84="","",IFERROR(VLOOKUP(D84,'Instellingen'!$D$5:$E$13,2,FALSE),""))</x:f>
        <x:v>55</x:v>
      </x:c>
      <x:c r="J84" t="n">
        <x:f>IF(C84="","",IF(C84="Ja",100,0))</x:f>
        <x:v>0</x:v>
      </x:c>
      <x:c r="K84" t="n">
        <x:f>IF(D84="","",SUM(I84*'Instellingen'!$B$5,J84*'Instellingen'!$B$6,IFERROR(E84/MAX($E$6:$E$167)*100,0)*'Instellingen'!$B$7,IFERROR(F84/MAX($F$6:$F$167)*100,0)*'Instellingen'!$B$8,IFERROR(G84/MAX($G$6:$G$167)*100,0)*'Instellingen'!$B$9,IFERROR(H84/MAX($H$6:$H$167)*100,0)*'Instellingen'!$B$10)/SUM('Instellingen'!$B$5:$B$10))</x:f>
        <x:v>15.983439812861533</x:v>
      </x:c>
      <x:c r="L84" t="n">
        <x:f>IF(K84="","",ROUND(('Instellingen'!$B$16+('Instellingen'!$B$17-'Instellingen'!$B$16)*POWER(K84/100,'Instellingen'!$B$18))/'Instellingen'!$B$19,0)*'Instellingen'!$B$19)</x:f>
        <x:v>485</x:v>
      </x:c>
      <x:c r="M84"/>
      <x:c r="N84" t="n">
        <x:f>IF(L84="","",MAX('Instellingen'!$B$16,MIN('Instellingen'!$B$17,L84+IF(M84="",0,M84))))</x:f>
        <x:v>485</x:v>
      </x:c>
      <x:c r="O84" t="str">
        <x:f>IF(N84="","",IF(N84&gt;='Instellingen'!$B$22,"Absolute top",IF(N84&gt;='Instellingen'!$B$23,"Kopman",IF(N84&gt;='Instellingen'!$B$24,"Sterke keuze",IF(N84&gt;='Instellingen'!$B$25,"Bruikbaar","Gok")))))</x:f>
        <x:v>Gok</x:v>
      </x:c>
      <x:c r="P84" t="str">
        <x:f>IF(A84="","",IF(D84="","Rol invullen","Compleet"))</x:f>
        <x:v>Compleet</x:v>
      </x:c>
      <x:c r="Q84" t="str">
        <x:v>https://www.procyclingstats.com/rider/andreas-leknessund</x:v>
      </x:c>
    </x:row>
    <x:row r="85">
      <x:c r="A85" t="str">
        <x:v>DVERSNES LAVIK Fredrik</x:v>
      </x:c>
      <x:c r="B85" t="str">
        <x:v>Uno-X Mobility</x:v>
      </x:c>
      <x:c r="C85" t="str">
        <x:v>Nee</x:v>
      </x:c>
      <x:c r="D85" t="str">
        <x:v>Meesterknecht</x:v>
      </x:c>
      <x:c r="E85" t="n">
        <x:v>436</x:v>
      </x:c>
      <x:c r="F85" t="n">
        <x:v>776</x:v>
      </x:c>
      <x:c r="G85" t="n">
        <x:v>139</x:v>
      </x:c>
      <x:c r="H85" t="n">
        <x:v>142</x:v>
      </x:c>
      <x:c r="I85" t="n">
        <x:f>IF(D85="","",IFERROR(VLOOKUP(D85,'Instellingen'!$D$5:$E$13,2,FALSE),""))</x:f>
        <x:v>55</x:v>
      </x:c>
      <x:c r="J85" t="n">
        <x:f>IF(C85="","",IF(C85="Ja",100,0))</x:f>
        <x:v>0</x:v>
      </x:c>
      <x:c r="K85" t="n">
        <x:f>IF(D85="","",SUM(I85*'Instellingen'!$B$5,J85*'Instellingen'!$B$6,IFERROR(E85/MAX($E$6:$E$167)*100,0)*'Instellingen'!$B$7,IFERROR(F85/MAX($F$6:$F$167)*100,0)*'Instellingen'!$B$8,IFERROR(G85/MAX($G$6:$G$167)*100,0)*'Instellingen'!$B$9,IFERROR(H85/MAX($H$6:$H$167)*100,0)*'Instellingen'!$B$10)/SUM('Instellingen'!$B$5:$B$10))</x:f>
        <x:v>11.692837728582607</x:v>
      </x:c>
      <x:c r="L85" t="n">
        <x:f>IF(K85="","",ROUND(('Instellingen'!$B$16+('Instellingen'!$B$17-'Instellingen'!$B$16)*POWER(K85/100,'Instellingen'!$B$18))/'Instellingen'!$B$19,0)*'Instellingen'!$B$19)</x:f>
        <x:v>421</x:v>
      </x:c>
      <x:c r="M85"/>
      <x:c r="N85" t="n">
        <x:f>IF(L85="","",MAX('Instellingen'!$B$16,MIN('Instellingen'!$B$17,L85+IF(M85="",0,M85))))</x:f>
        <x:v>421</x:v>
      </x:c>
      <x:c r="O85" t="str">
        <x:f>IF(N85="","",IF(N85&gt;='Instellingen'!$B$22,"Absolute top",IF(N85&gt;='Instellingen'!$B$23,"Kopman",IF(N85&gt;='Instellingen'!$B$24,"Sterke keuze",IF(N85&gt;='Instellingen'!$B$25,"Bruikbaar","Gok")))))</x:f>
        <x:v>Gok</x:v>
      </x:c>
      <x:c r="P85" t="str">
        <x:f>IF(A85="","",IF(D85="","Rol invullen","Compleet"))</x:f>
        <x:v>Compleet</x:v>
      </x:c>
      <x:c r="Q85" t="str">
        <x:v>https://www.procyclingstats.com/rider/fredrik-dversnes</x:v>
      </x:c>
    </x:row>
    <x:row r="86">
      <x:c r="A86" t="str">
        <x:v>MULUBRHAN Henok</x:v>
      </x:c>
      <x:c r="B86" t="str">
        <x:v>XDS Astana Team</x:v>
      </x:c>
      <x:c r="C86" t="str">
        <x:v>Nee</x:v>
      </x:c>
      <x:c r="D86" t="str">
        <x:v>Meesterknecht</x:v>
      </x:c>
      <x:c r="E86" t="n">
        <x:v>1244</x:v>
      </x:c>
      <x:c r="F86" t="n">
        <x:v>1426</x:v>
      </x:c>
      <x:c r="G86" t="n">
        <x:v>474</x:v>
      </x:c>
      <x:c r="H86" t="n">
        <x:v>275</x:v>
      </x:c>
      <x:c r="I86" t="n">
        <x:f>IF(D86="","",IFERROR(VLOOKUP(D86,'Instellingen'!$D$5:$E$13,2,FALSE),""))</x:f>
        <x:v>55</x:v>
      </x:c>
      <x:c r="J86" t="n">
        <x:f>IF(C86="","",IF(C86="Ja",100,0))</x:f>
        <x:v>0</x:v>
      </x:c>
      <x:c r="K86" t="n">
        <x:f>IF(D86="","",SUM(I86*'Instellingen'!$B$5,J86*'Instellingen'!$B$6,IFERROR(E86/MAX($E$6:$E$167)*100,0)*'Instellingen'!$B$7,IFERROR(F86/MAX($F$6:$F$167)*100,0)*'Instellingen'!$B$8,IFERROR(G86/MAX($G$6:$G$167)*100,0)*'Instellingen'!$B$9,IFERROR(H86/MAX($H$6:$H$167)*100,0)*'Instellingen'!$B$10)/SUM('Instellingen'!$B$5:$B$10))</x:f>
        <x:v>16.691466838511314</x:v>
      </x:c>
      <x:c r="L86" t="n">
        <x:f>IF(K86="","",ROUND(('Instellingen'!$B$16+('Instellingen'!$B$17-'Instellingen'!$B$16)*POWER(K86/100,'Instellingen'!$B$18))/'Instellingen'!$B$19,0)*'Instellingen'!$B$19)</x:f>
        <x:v>496</x:v>
      </x:c>
      <x:c r="M86"/>
      <x:c r="N86" t="n">
        <x:f>IF(L86="","",MAX('Instellingen'!$B$16,MIN('Instellingen'!$B$17,L86+IF(M86="",0,M86))))</x:f>
        <x:v>496</x:v>
      </x:c>
      <x:c r="O86" t="str">
        <x:f>IF(N86="","",IF(N86&gt;='Instellingen'!$B$22,"Absolute top",IF(N86&gt;='Instellingen'!$B$23,"Kopman",IF(N86&gt;='Instellingen'!$B$24,"Sterke keuze",IF(N86&gt;='Instellingen'!$B$25,"Bruikbaar","Gok")))))</x:f>
        <x:v>Gok</x:v>
      </x:c>
      <x:c r="P86" t="str">
        <x:f>IF(A86="","",IF(D86="","Rol invullen","Compleet"))</x:f>
        <x:v>Compleet</x:v>
      </x:c>
      <x:c r="Q86" t="str">
        <x:v>https://www.procyclingstats.com/rider/henok-mulubrhan</x:v>
      </x:c>
    </x:row>
    <x:row r="87">
      <x:c r="A87" t="str">
        <x:v>TEJADA Harold</x:v>
      </x:c>
      <x:c r="B87" t="str">
        <x:v>XDS Astana Team</x:v>
      </x:c>
      <x:c r="C87" t="str">
        <x:v>Nee</x:v>
      </x:c>
      <x:c r="D87" t="str">
        <x:v>Meesterknecht</x:v>
      </x:c>
      <x:c r="E87" t="n">
        <x:v>1245</x:v>
      </x:c>
      <x:c r="F87" t="n">
        <x:v>158</x:v>
      </x:c>
      <x:c r="G87" t="n">
        <x:v>1330</x:v>
      </x:c>
      <x:c r="H87" t="n">
        <x:v>366</x:v>
      </x:c>
      <x:c r="I87" t="n">
        <x:f>IF(D87="","",IFERROR(VLOOKUP(D87,'Instellingen'!$D$5:$E$13,2,FALSE),""))</x:f>
        <x:v>55</x:v>
      </x:c>
      <x:c r="J87" t="n">
        <x:f>IF(C87="","",IF(C87="Ja",100,0))</x:f>
        <x:v>0</x:v>
      </x:c>
      <x:c r="K87" t="n">
        <x:f>IF(D87="","",SUM(I87*'Instellingen'!$B$5,J87*'Instellingen'!$B$6,IFERROR(E87/MAX($E$6:$E$167)*100,0)*'Instellingen'!$B$7,IFERROR(F87/MAX($F$6:$F$167)*100,0)*'Instellingen'!$B$8,IFERROR(G87/MAX($G$6:$G$167)*100,0)*'Instellingen'!$B$9,IFERROR(H87/MAX($H$6:$H$167)*100,0)*'Instellingen'!$B$10)/SUM('Instellingen'!$B$5:$B$10))</x:f>
        <x:v>15.716706357401002</x:v>
      </x:c>
      <x:c r="L87" t="n">
        <x:f>IF(K87="","",ROUND(('Instellingen'!$B$16+('Instellingen'!$B$17-'Instellingen'!$B$16)*POWER(K87/100,'Instellingen'!$B$18))/'Instellingen'!$B$19,0)*'Instellingen'!$B$19)</x:f>
        <x:v>481</x:v>
      </x:c>
      <x:c r="M87"/>
      <x:c r="N87" t="n">
        <x:f>IF(L87="","",MAX('Instellingen'!$B$16,MIN('Instellingen'!$B$17,L87+IF(M87="",0,M87))))</x:f>
        <x:v>481</x:v>
      </x:c>
      <x:c r="O87" t="str">
        <x:f>IF(N87="","",IF(N87&gt;='Instellingen'!$B$22,"Absolute top",IF(N87&gt;='Instellingen'!$B$23,"Kopman",IF(N87&gt;='Instellingen'!$B$24,"Sterke keuze",IF(N87&gt;='Instellingen'!$B$25,"Bruikbaar","Gok")))))</x:f>
        <x:v>Gok</x:v>
      </x:c>
      <x:c r="P87" t="str">
        <x:f>IF(A87="","",IF(D87="","Rol invullen","Compleet"))</x:f>
        <x:v>Compleet</x:v>
      </x:c>
      <x:c r="Q87" t="str">
        <x:v>https://www.procyclingstats.com/rider/harold-tejada</x:v>
      </x:c>
    </x:row>
    <x:row r="88">
      <x:c r="A88" t="str">
        <x:v>RODRÍGUEZ Cristián</x:v>
      </x:c>
      <x:c r="B88" t="str">
        <x:v>XDS Astana Team</x:v>
      </x:c>
      <x:c r="C88" t="str">
        <x:v>Nee</x:v>
      </x:c>
      <x:c r="D88" t="str">
        <x:v>Vrijbuiter</x:v>
      </x:c>
      <x:c r="E88" t="n">
        <x:v>1724</x:v>
      </x:c>
      <x:c r="F88" t="n">
        <x:v>467</x:v>
      </x:c>
      <x:c r="G88" t="n">
        <x:v>1362</x:v>
      </x:c>
      <x:c r="H88" t="n">
        <x:v>110</x:v>
      </x:c>
      <x:c r="I88" t="n">
        <x:f>IF(D88="","",IFERROR(VLOOKUP(D88,'Instellingen'!$D$5:$E$13,2,FALSE),""))</x:f>
        <x:v>65</x:v>
      </x:c>
      <x:c r="J88" t="n">
        <x:f>IF(C88="","",IF(C88="Ja",100,0))</x:f>
        <x:v>0</x:v>
      </x:c>
      <x:c r="K88" t="n">
        <x:f>IF(D88="","",SUM(I88*'Instellingen'!$B$5,J88*'Instellingen'!$B$6,IFERROR(E88/MAX($E$6:$E$167)*100,0)*'Instellingen'!$B$7,IFERROR(F88/MAX($F$6:$F$167)*100,0)*'Instellingen'!$B$8,IFERROR(G88/MAX($G$6:$G$167)*100,0)*'Instellingen'!$B$9,IFERROR(H88/MAX($H$6:$H$167)*100,0)*'Instellingen'!$B$10)/SUM('Instellingen'!$B$5:$B$10))</x:f>
        <x:v>19.553107604574006</x:v>
      </x:c>
      <x:c r="L88" t="n">
        <x:f>IF(K88="","",ROUND(('Instellingen'!$B$16+('Instellingen'!$B$17-'Instellingen'!$B$16)*POWER(K88/100,'Instellingen'!$B$18))/'Instellingen'!$B$19,0)*'Instellingen'!$B$19)</x:f>
        <x:v>543</x:v>
      </x:c>
      <x:c r="M88"/>
      <x:c r="N88" t="n">
        <x:f>IF(L88="","",MAX('Instellingen'!$B$16,MIN('Instellingen'!$B$17,L88+IF(M88="",0,M88))))</x:f>
        <x:v>543</x:v>
      </x:c>
      <x:c r="O88" t="str">
        <x:f>IF(N88="","",IF(N88&gt;='Instellingen'!$B$22,"Absolute top",IF(N88&gt;='Instellingen'!$B$23,"Kopman",IF(N88&gt;='Instellingen'!$B$24,"Sterke keuze",IF(N88&gt;='Instellingen'!$B$25,"Bruikbaar","Gok")))))</x:f>
        <x:v>Gok</x:v>
      </x:c>
      <x:c r="P88" t="str">
        <x:f>IF(A88="","",IF(D88="","Rol invullen","Compleet"))</x:f>
        <x:v>Compleet</x:v>
      </x:c>
      <x:c r="Q88" t="str">
        <x:v>https://www.procyclingstats.com/rider/cristian-rodriguez</x:v>
      </x:c>
    </x:row>
    <x:row r="89">
      <x:c r="A89" t="str">
        <x:v>FORTUNATO Lorenzo</x:v>
      </x:c>
      <x:c r="B89" t="str">
        <x:v>XDS Astana Team</x:v>
      </x:c>
      <x:c r="C89" t="str">
        <x:v>Nee</x:v>
      </x:c>
      <x:c r="D89" t="str">
        <x:v>Vrijbuiter</x:v>
      </x:c>
      <x:c r="E89" t="n">
        <x:v>1898</x:v>
      </x:c>
      <x:c r="F89" t="n">
        <x:v>406</x:v>
      </x:c>
      <x:c r="G89" t="n">
        <x:v>1931</x:v>
      </x:c>
      <x:c r="H89" t="n">
        <x:v>8</x:v>
      </x:c>
      <x:c r="I89" t="n">
        <x:f>IF(D89="","",IFERROR(VLOOKUP(D89,'Instellingen'!$D$5:$E$13,2,FALSE),""))</x:f>
        <x:v>65</x:v>
      </x:c>
      <x:c r="J89" t="n">
        <x:f>IF(C89="","",IF(C89="Ja",100,0))</x:f>
        <x:v>0</x:v>
      </x:c>
      <x:c r="K89" t="n">
        <x:f>IF(D89="","",SUM(I89*'Instellingen'!$B$5,J89*'Instellingen'!$B$6,IFERROR(E89/MAX($E$6:$E$167)*100,0)*'Instellingen'!$B$7,IFERROR(F89/MAX($F$6:$F$167)*100,0)*'Instellingen'!$B$8,IFERROR(G89/MAX($G$6:$G$167)*100,0)*'Instellingen'!$B$9,IFERROR(H89/MAX($H$6:$H$167)*100,0)*'Instellingen'!$B$10)/SUM('Instellingen'!$B$5:$B$10))</x:f>
        <x:v>20.85833101954935</x:v>
      </x:c>
      <x:c r="L89" t="n">
        <x:f>IF(K89="","",ROUND(('Instellingen'!$B$16+('Instellingen'!$B$17-'Instellingen'!$B$16)*POWER(K89/100,'Instellingen'!$B$18))/'Instellingen'!$B$19,0)*'Instellingen'!$B$19)</x:f>
        <x:v>565</x:v>
      </x:c>
      <x:c r="M89"/>
      <x:c r="N89" t="n">
        <x:f>IF(L89="","",MAX('Instellingen'!$B$16,MIN('Instellingen'!$B$17,L89+IF(M89="",0,M89))))</x:f>
        <x:v>565</x:v>
      </x:c>
      <x:c r="O89" t="str">
        <x:f>IF(N89="","",IF(N89&gt;='Instellingen'!$B$22,"Absolute top",IF(N89&gt;='Instellingen'!$B$23,"Kopman",IF(N89&gt;='Instellingen'!$B$24,"Sterke keuze",IF(N89&gt;='Instellingen'!$B$25,"Bruikbaar","Gok")))))</x:f>
        <x:v>Gok</x:v>
      </x:c>
      <x:c r="P89" t="str">
        <x:f>IF(A89="","",IF(D89="","Rol invullen","Compleet"))</x:f>
        <x:v>Compleet</x:v>
      </x:c>
      <x:c r="Q89" t="str">
        <x:v>https://www.procyclingstats.com/rider/lorenzo-fortunato</x:v>
      </x:c>
    </x:row>
    <x:row r="90">
      <x:c r="A90" t="str">
        <x:v>LANGELLOTTI Victor</x:v>
      </x:c>
      <x:c r="B90" t="str">
        <x:v>XDS Astana Team</x:v>
      </x:c>
      <x:c r="C90" t="str">
        <x:v>Nee</x:v>
      </x:c>
      <x:c r="D90" t="str">
        <x:v>Knecht</x:v>
      </x:c>
      <x:c r="E90" t="n">
        <x:v>463</x:v>
      </x:c>
      <x:c r="F90" t="n">
        <x:v>158</x:v>
      </x:c>
      <x:c r="G90" t="n">
        <x:v>390</x:v>
      </x:c>
      <x:c r="H90" t="n">
        <x:v>58</x:v>
      </x:c>
      <x:c r="I90" t="n">
        <x:f>IF(D90="","",IFERROR(VLOOKUP(D90,'Instellingen'!$D$5:$E$13,2,FALSE),""))</x:f>
        <x:v>30</x:v>
      </x:c>
      <x:c r="J90" t="n">
        <x:f>IF(C90="","",IF(C90="Ja",100,0))</x:f>
        <x:v>0</x:v>
      </x:c>
      <x:c r="K90" t="n">
        <x:f>IF(D90="","",SUM(I90*'Instellingen'!$B$5,J90*'Instellingen'!$B$6,IFERROR(E90/MAX($E$6:$E$167)*100,0)*'Instellingen'!$B$7,IFERROR(F90/MAX($F$6:$F$167)*100,0)*'Instellingen'!$B$8,IFERROR(G90/MAX($G$6:$G$167)*100,0)*'Instellingen'!$B$9,IFERROR(H90/MAX($H$6:$H$167)*100,0)*'Instellingen'!$B$10)/SUM('Instellingen'!$B$5:$B$10))</x:f>
        <x:v>7.245780069291137</x:v>
      </x:c>
      <x:c r="L90" t="n">
        <x:f>IF(K90="","",ROUND(('Instellingen'!$B$16+('Instellingen'!$B$17-'Instellingen'!$B$16)*POWER(K90/100,'Instellingen'!$B$18))/'Instellingen'!$B$19,0)*'Instellingen'!$B$19)</x:f>
        <x:v>364</x:v>
      </x:c>
      <x:c r="M90"/>
      <x:c r="N90" t="n">
        <x:f>IF(L90="","",MAX('Instellingen'!$B$16,MIN('Instellingen'!$B$17,L90+IF(M90="",0,M90))))</x:f>
        <x:v>364</x:v>
      </x:c>
      <x:c r="O90" t="str">
        <x:f>IF(N90="","",IF(N90&gt;='Instellingen'!$B$22,"Absolute top",IF(N90&gt;='Instellingen'!$B$23,"Kopman",IF(N90&gt;='Instellingen'!$B$24,"Sterke keuze",IF(N90&gt;='Instellingen'!$B$25,"Bruikbaar","Gok")))))</x:f>
        <x:v>Gok</x:v>
      </x:c>
      <x:c r="P90" t="str">
        <x:f>IF(A90="","",IF(D90="","Rol invullen","Compleet"))</x:f>
        <x:v>Compleet</x:v>
      </x:c>
      <x:c r="Q90" t="str">
        <x:v>https://www.procyclingstats.com/rider/victor-langellotti</x:v>
      </x:c>
    </x:row>
    <x:row r="91">
      <x:c r="A91" t="str">
        <x:v>VAN BEKKUM Darren</x:v>
      </x:c>
      <x:c r="B91" t="str">
        <x:v>XDS Astana Team</x:v>
      </x:c>
      <x:c r="C91" t="str">
        <x:v>Ja</x:v>
      </x:c>
      <x:c r="D91" t="str">
        <x:v>Onzeker</x:v>
      </x:c>
      <x:c r="E91" t="n">
        <x:v>104</x:v>
      </x:c>
      <x:c r="F91" t="n">
        <x:v>45</x:v>
      </x:c>
      <x:c r="G91" t="n">
        <x:v>102</x:v>
      </x:c>
      <x:c r="H91" t="n">
        <x:v>27</x:v>
      </x:c>
      <x:c r="I91" t="n">
        <x:f>IF(D91="","",IFERROR(VLOOKUP(D91,'Instellingen'!$D$5:$E$13,2,FALSE),""))</x:f>
        <x:v>20</x:v>
      </x:c>
      <x:c r="J91" t="n">
        <x:f>IF(C91="","",IF(C91="Ja",100,0))</x:f>
        <x:v>100</x:v>
      </x:c>
      <x:c r="K91" t="n">
        <x:f>IF(D91="","",SUM(I91*'Instellingen'!$B$5,J91*'Instellingen'!$B$6,IFERROR(E91/MAX($E$6:$E$167)*100,0)*'Instellingen'!$B$7,IFERROR(F91/MAX($F$6:$F$167)*100,0)*'Instellingen'!$B$8,IFERROR(G91/MAX($G$6:$G$167)*100,0)*'Instellingen'!$B$9,IFERROR(H91/MAX($H$6:$H$167)*100,0)*'Instellingen'!$B$10)/SUM('Instellingen'!$B$5:$B$10))</x:f>
        <x:v>13.664308543684626</x:v>
      </x:c>
      <x:c r="L91" t="n">
        <x:f>IF(K91="","",ROUND(('Instellingen'!$B$16+('Instellingen'!$B$17-'Instellingen'!$B$16)*POWER(K91/100,'Instellingen'!$B$18))/'Instellingen'!$B$19,0)*'Instellingen'!$B$19)</x:f>
        <x:v>450</x:v>
      </x:c>
      <x:c r="M91"/>
      <x:c r="N91" t="n">
        <x:f>IF(L91="","",MAX('Instellingen'!$B$16,MIN('Instellingen'!$B$17,L91+IF(M91="",0,M91))))</x:f>
        <x:v>450</x:v>
      </x:c>
      <x:c r="O91" t="str">
        <x:f>IF(N91="","",IF(N91&gt;='Instellingen'!$B$22,"Absolute top",IF(N91&gt;='Instellingen'!$B$23,"Kopman",IF(N91&gt;='Instellingen'!$B$24,"Sterke keuze",IF(N91&gt;='Instellingen'!$B$25,"Bruikbaar","Gok")))))</x:f>
        <x:v>Gok</x:v>
      </x:c>
      <x:c r="P91" t="str">
        <x:f>IF(A91="","",IF(D91="","Rol invullen","Compleet"))</x:f>
        <x:v>Compleet</x:v>
      </x:c>
      <x:c r="Q91" t="str">
        <x:v>https://www.procyclingstats.com/rider/darren-van-bekkum</x:v>
      </x:c>
    </x:row>
    <x:row r="92">
      <x:c r="A92" t="str">
        <x:v>FEDOROV Yevgeniy</x:v>
      </x:c>
      <x:c r="B92" t="str">
        <x:v>XDS Astana Team</x:v>
      </x:c>
      <x:c r="C92" t="str">
        <x:v>Nee</x:v>
      </x:c>
      <x:c r="D92" t="str">
        <x:v>Sprinter</x:v>
      </x:c>
      <x:c r="E92" t="n">
        <x:v>213</x:v>
      </x:c>
      <x:c r="F92" t="n">
        <x:v>1326</x:v>
      </x:c>
      <x:c r="G92" t="n">
        <x:v>38</x:v>
      </x:c>
      <x:c r="H92" t="n">
        <x:v>565</x:v>
      </x:c>
      <x:c r="I92" t="n">
        <x:f>IF(D92="","",IFERROR(VLOOKUP(D92,'Instellingen'!$D$5:$E$13,2,FALSE),""))</x:f>
        <x:v>80</x:v>
      </x:c>
      <x:c r="J92" t="n">
        <x:f>IF(C92="","",IF(C92="Ja",100,0))</x:f>
        <x:v>0</x:v>
      </x:c>
      <x:c r="K92" t="n">
        <x:f>IF(D92="","",SUM(I92*'Instellingen'!$B$5,J92*'Instellingen'!$B$6,IFERROR(E92/MAX($E$6:$E$167)*100,0)*'Instellingen'!$B$7,IFERROR(F92/MAX($F$6:$F$167)*100,0)*'Instellingen'!$B$8,IFERROR(G92/MAX($G$6:$G$167)*100,0)*'Instellingen'!$B$9,IFERROR(H92/MAX($H$6:$H$167)*100,0)*'Instellingen'!$B$10)/SUM('Instellingen'!$B$5:$B$10))</x:f>
        <x:v>15.695454632393858</x:v>
      </x:c>
      <x:c r="L92" t="n">
        <x:f>IF(K92="","",ROUND(('Instellingen'!$B$16+('Instellingen'!$B$17-'Instellingen'!$B$16)*POWER(K92/100,'Instellingen'!$B$18))/'Instellingen'!$B$19,0)*'Instellingen'!$B$19)</x:f>
        <x:v>481</x:v>
      </x:c>
      <x:c r="M92"/>
      <x:c r="N92" t="n">
        <x:f>IF(L92="","",MAX('Instellingen'!$B$16,MIN('Instellingen'!$B$17,L92+IF(M92="",0,M92))))</x:f>
        <x:v>481</x:v>
      </x:c>
      <x:c r="O92" t="str">
        <x:f>IF(N92="","",IF(N92&gt;='Instellingen'!$B$22,"Absolute top",IF(N92&gt;='Instellingen'!$B$23,"Kopman",IF(N92&gt;='Instellingen'!$B$24,"Sterke keuze",IF(N92&gt;='Instellingen'!$B$25,"Bruikbaar","Gok")))))</x:f>
        <x:v>Gok</x:v>
      </x:c>
      <x:c r="P92" t="str">
        <x:f>IF(A92="","",IF(D92="","Rol invullen","Compleet"))</x:f>
        <x:v>Compleet</x:v>
      </x:c>
      <x:c r="Q92" t="str">
        <x:v>https://www.procyclingstats.com/rider/yevgeniy-fedorov</x:v>
      </x:c>
    </x:row>
    <x:row r="93">
      <x:c r="A93" t="str">
        <x:v>ROMELE Alessandro</x:v>
      </x:c>
      <x:c r="B93" t="str">
        <x:v>XDS Astana Team</x:v>
      </x:c>
      <x:c r="C93" t="str">
        <x:v>Ja</x:v>
      </x:c>
      <x:c r="D93" t="str">
        <x:v>Knecht</x:v>
      </x:c>
      <x:c r="E93" t="n">
        <x:v>134</x:v>
      </x:c>
      <x:c r="F93" t="n">
        <x:v>294</x:v>
      </x:c>
      <x:c r="G93" t="n">
        <x:v>28</x:v>
      </x:c>
      <x:c r="H93" t="n">
        <x:v>15</x:v>
      </x:c>
      <x:c r="I93" t="n">
        <x:f>IF(D93="","",IFERROR(VLOOKUP(D93,'Instellingen'!$D$5:$E$13,2,FALSE),""))</x:f>
        <x:v>30</x:v>
      </x:c>
      <x:c r="J93" t="n">
        <x:f>IF(C93="","",IF(C93="Ja",100,0))</x:f>
        <x:v>100</x:v>
      </x:c>
      <x:c r="K93" t="n">
        <x:f>IF(D93="","",SUM(I93*'Instellingen'!$B$5,J93*'Instellingen'!$B$6,IFERROR(E93/MAX($E$6:$E$167)*100,0)*'Instellingen'!$B$7,IFERROR(F93/MAX($F$6:$F$167)*100,0)*'Instellingen'!$B$8,IFERROR(G93/MAX($G$6:$G$167)*100,0)*'Instellingen'!$B$9,IFERROR(H93/MAX($H$6:$H$167)*100,0)*'Instellingen'!$B$10)/SUM('Instellingen'!$B$5:$B$10))</x:f>
        <x:v>15.612957792747634</x:v>
      </x:c>
      <x:c r="L93" t="n">
        <x:f>IF(K93="","",ROUND(('Instellingen'!$B$16+('Instellingen'!$B$17-'Instellingen'!$B$16)*POWER(K93/100,'Instellingen'!$B$18))/'Instellingen'!$B$19,0)*'Instellingen'!$B$19)</x:f>
        <x:v>479</x:v>
      </x:c>
      <x:c r="M93"/>
      <x:c r="N93" t="n">
        <x:f>IF(L93="","",MAX('Instellingen'!$B$16,MIN('Instellingen'!$B$17,L93+IF(M93="",0,M93))))</x:f>
        <x:v>479</x:v>
      </x:c>
      <x:c r="O93" t="str">
        <x:f>IF(N93="","",IF(N93&gt;='Instellingen'!$B$22,"Absolute top",IF(N93&gt;='Instellingen'!$B$23,"Kopman",IF(N93&gt;='Instellingen'!$B$24,"Sterke keuze",IF(N93&gt;='Instellingen'!$B$25,"Bruikbaar","Gok")))))</x:f>
        <x:v>Gok</x:v>
      </x:c>
      <x:c r="P93" t="str">
        <x:f>IF(A93="","",IF(D93="","Rol invullen","Compleet"))</x:f>
        <x:v>Compleet</x:v>
      </x:c>
      <x:c r="Q93" t="str">
        <x:v>https://www.procyclingstats.com/rider/alessandro-romele</x:v>
      </x:c>
    </x:row>
    <x:row r="94">
      <x:c r="A94" t="str">
        <x:v>BRENNER Marco</x:v>
      </x:c>
      <x:c r="B94" t="str">
        <x:v>Tudor Pro Cycling Team</x:v>
      </x:c>
      <x:c r="C94" t="str">
        <x:v>Ja</x:v>
      </x:c>
      <x:c r="D94" t="str">
        <x:v>Meesterknecht</x:v>
      </x:c>
      <x:c r="E94" t="n">
        <x:v>813</x:v>
      </x:c>
      <x:c r="F94" t="n">
        <x:v>284</x:v>
      </x:c>
      <x:c r="G94" t="n">
        <x:v>558</x:v>
      </x:c>
      <x:c r="H94" t="n">
        <x:v>232</x:v>
      </x:c>
      <x:c r="I94" t="n">
        <x:f>IF(D94="","",IFERROR(VLOOKUP(D94,'Instellingen'!$D$5:$E$13,2,FALSE),""))</x:f>
        <x:v>55</x:v>
      </x:c>
      <x:c r="J94" t="n">
        <x:f>IF(C94="","",IF(C94="Ja",100,0))</x:f>
        <x:v>100</x:v>
      </x:c>
      <x:c r="K94" t="n">
        <x:f>IF(D94="","",SUM(I94*'Instellingen'!$B$5,J94*'Instellingen'!$B$6,IFERROR(E94/MAX($E$6:$E$167)*100,0)*'Instellingen'!$B$7,IFERROR(F94/MAX($F$6:$F$167)*100,0)*'Instellingen'!$B$8,IFERROR(G94/MAX($G$6:$G$167)*100,0)*'Instellingen'!$B$9,IFERROR(H94/MAX($H$6:$H$167)*100,0)*'Instellingen'!$B$10)/SUM('Instellingen'!$B$5:$B$10))</x:f>
        <x:v>23.010385006802768</x:v>
      </x:c>
      <x:c r="L94" t="n">
        <x:f>IF(K94="","",ROUND(('Instellingen'!$B$16+('Instellingen'!$B$17-'Instellingen'!$B$16)*POWER(K94/100,'Instellingen'!$B$18))/'Instellingen'!$B$19,0)*'Instellingen'!$B$19)</x:f>
        <x:v>603</x:v>
      </x:c>
      <x:c r="M94"/>
      <x:c r="N94" t="n">
        <x:f>IF(L94="","",MAX('Instellingen'!$B$16,MIN('Instellingen'!$B$17,L94+IF(M94="",0,M94))))</x:f>
        <x:v>603</x:v>
      </x:c>
      <x:c r="O94" t="str">
        <x:f>IF(N94="","",IF(N94&gt;='Instellingen'!$B$22,"Absolute top",IF(N94&gt;='Instellingen'!$B$23,"Kopman",IF(N94&gt;='Instellingen'!$B$24,"Sterke keuze",IF(N94&gt;='Instellingen'!$B$25,"Bruikbaar","Gok")))))</x:f>
        <x:v>Gok</x:v>
      </x:c>
      <x:c r="P94" t="str">
        <x:f>IF(A94="","",IF(D94="","Rol invullen","Compleet"))</x:f>
        <x:v>Compleet</x:v>
      </x:c>
      <x:c r="Q94" t="str">
        <x:v>https://www.procyclingstats.com/rider/marco-brenner</x:v>
      </x:c>
    </x:row>
    <x:row r="95">
      <x:c r="A95" t="str">
        <x:v>KÜNG Stefan</x:v>
      </x:c>
      <x:c r="B95" t="str">
        <x:v>Tudor Pro Cycling Team</x:v>
      </x:c>
      <x:c r="C95" t="str">
        <x:v>Nee</x:v>
      </x:c>
      <x:c r="D95" t="str">
        <x:v>Kopman punten</x:v>
      </x:c>
      <x:c r="E95" t="n">
        <x:v>1699</x:v>
      </x:c>
      <x:c r="F95" t="n">
        <x:v>3418</x:v>
      </x:c>
      <x:c r="G95" t="n">
        <x:v>552</x:v>
      </x:c>
      <x:c r="H95" t="n">
        <x:v>6366</x:v>
      </x:c>
      <x:c r="I95" t="n">
        <x:f>IF(D95="","",IFERROR(VLOOKUP(D95,'Instellingen'!$D$5:$E$13,2,FALSE),""))</x:f>
        <x:v>90</x:v>
      </x:c>
      <x:c r="J95" t="n">
        <x:f>IF(C95="","",IF(C95="Ja",100,0))</x:f>
        <x:v>0</x:v>
      </x:c>
      <x:c r="K95" t="n">
        <x:f>IF(D95="","",SUM(I95*'Instellingen'!$B$5,J95*'Instellingen'!$B$6,IFERROR(E95/MAX($E$6:$E$167)*100,0)*'Instellingen'!$B$7,IFERROR(F95/MAX($F$6:$F$167)*100,0)*'Instellingen'!$B$8,IFERROR(G95/MAX($G$6:$G$167)*100,0)*'Instellingen'!$B$9,IFERROR(H95/MAX($H$6:$H$167)*100,0)*'Instellingen'!$B$10)/SUM('Instellingen'!$B$5:$B$10))</x:f>
        <x:v>32.18881719523284</x:v>
      </x:c>
      <x:c r="L95" t="n">
        <x:f>IF(K95="","",ROUND(('Instellingen'!$B$16+('Instellingen'!$B$17-'Instellingen'!$B$16)*POWER(K95/100,'Instellingen'!$B$18))/'Instellingen'!$B$19,0)*'Instellingen'!$B$19)</x:f>
        <x:v>776</x:v>
      </x:c>
      <x:c r="M95"/>
      <x:c r="N95" t="n">
        <x:f>IF(L95="","",MAX('Instellingen'!$B$16,MIN('Instellingen'!$B$17,L95+IF(M95="",0,M95))))</x:f>
        <x:v>776</x:v>
      </x:c>
      <x:c r="O95" t="str">
        <x:f>IF(N95="","",IF(N95&gt;='Instellingen'!$B$22,"Absolute top",IF(N95&gt;='Instellingen'!$B$23,"Kopman",IF(N95&gt;='Instellingen'!$B$24,"Sterke keuze",IF(N95&gt;='Instellingen'!$B$25,"Bruikbaar","Gok")))))</x:f>
        <x:v>Bruikbaar</x:v>
      </x:c>
      <x:c r="P95" t="str">
        <x:f>IF(A95="","",IF(D95="","Rol invullen","Compleet"))</x:f>
        <x:v>Compleet</x:v>
      </x:c>
      <x:c r="Q95" t="str">
        <x:v>https://www.procyclingstats.com/rider/stefan-kung</x:v>
      </x:c>
    </x:row>
    <x:row r="96">
      <x:c r="A96" t="str">
        <x:v>COQUARD Bryan</x:v>
      </x:c>
      <x:c r="B96" t="str">
        <x:v>Cofidis</x:v>
      </x:c>
      <x:c r="C96" t="str">
        <x:v>Nee</x:v>
      </x:c>
      <x:c r="D96" t="str">
        <x:v>Kopman punten</x:v>
      </x:c>
      <x:c r="E96" t="n">
        <x:v>1305</x:v>
      </x:c>
      <x:c r="F96" t="n">
        <x:v>7962</x:v>
      </x:c>
      <x:c r="G96" t="n">
        <x:v>238</x:v>
      </x:c>
      <x:c r="H96" t="n">
        <x:v>289</x:v>
      </x:c>
      <x:c r="I96" t="n">
        <x:f>IF(D96="","",IFERROR(VLOOKUP(D96,'Instellingen'!$D$5:$E$13,2,FALSE),""))</x:f>
        <x:v>90</x:v>
      </x:c>
      <x:c r="J96" t="n">
        <x:f>IF(C96="","",IF(C96="Ja",100,0))</x:f>
        <x:v>0</x:v>
      </x:c>
      <x:c r="K96" t="n">
        <x:f>IF(D96="","",SUM(I96*'Instellingen'!$B$5,J96*'Instellingen'!$B$6,IFERROR(E96/MAX($E$6:$E$167)*100,0)*'Instellingen'!$B$7,IFERROR(F96/MAX($F$6:$F$167)*100,0)*'Instellingen'!$B$8,IFERROR(G96/MAX($G$6:$G$167)*100,0)*'Instellingen'!$B$9,IFERROR(H96/MAX($H$6:$H$167)*100,0)*'Instellingen'!$B$10)/SUM('Instellingen'!$B$5:$B$10))</x:f>
        <x:v>33.37137911768412</x:v>
      </x:c>
      <x:c r="L96" t="n">
        <x:f>IF(K96="","",ROUND(('Instellingen'!$B$16+('Instellingen'!$B$17-'Instellingen'!$B$16)*POWER(K96/100,'Instellingen'!$B$18))/'Instellingen'!$B$19,0)*'Instellingen'!$B$19)</x:f>
        <x:v>800</x:v>
      </x:c>
      <x:c r="M96"/>
      <x:c r="N96" t="n">
        <x:f>IF(L96="","",MAX('Instellingen'!$B$16,MIN('Instellingen'!$B$17,L96+IF(M96="",0,M96))))</x:f>
        <x:v>800</x:v>
      </x:c>
      <x:c r="O96" t="str">
        <x:f>IF(N96="","",IF(N96&gt;='Instellingen'!$B$22,"Absolute top",IF(N96&gt;='Instellingen'!$B$23,"Kopman",IF(N96&gt;='Instellingen'!$B$24,"Sterke keuze",IF(N96&gt;='Instellingen'!$B$25,"Bruikbaar","Gok")))))</x:f>
        <x:v>Bruikbaar</x:v>
      </x:c>
      <x:c r="P96" t="str">
        <x:f>IF(A96="","",IF(D96="","Rol invullen","Compleet"))</x:f>
        <x:v>Compleet</x:v>
      </x:c>
      <x:c r="Q96" t="str">
        <x:v>https://www.procyclingstats.com/rider/bryan-coquard</x:v>
      </x:c>
    </x:row>
    <x:row r="97">
      <x:c r="A97" t="str">
        <x:v>BUCHMANN Emanuel</x:v>
      </x:c>
      <x:c r="B97" t="str">
        <x:v>Cofidis</x:v>
      </x:c>
      <x:c r="C97" t="str">
        <x:v>Nee</x:v>
      </x:c>
      <x:c r="D97" t="str">
        <x:v>Kopman AK</x:v>
      </x:c>
      <x:c r="E97" t="n">
        <x:v>3369</x:v>
      </x:c>
      <x:c r="F97" t="n">
        <x:v>894</x:v>
      </x:c>
      <x:c r="G97" t="n">
        <x:v>2974</x:v>
      </x:c>
      <x:c r="H97" t="n">
        <x:v>233</x:v>
      </x:c>
      <x:c r="I97" t="n">
        <x:f>IF(D97="","",IFERROR(VLOOKUP(D97,'Instellingen'!$D$5:$E$13,2,FALSE),""))</x:f>
        <x:v>100</x:v>
      </x:c>
      <x:c r="J97" t="n">
        <x:f>IF(C97="","",IF(C97="Ja",100,0))</x:f>
        <x:v>0</x:v>
      </x:c>
      <x:c r="K97" t="n">
        <x:f>IF(D97="","",SUM(I97*'Instellingen'!$B$5,J97*'Instellingen'!$B$6,IFERROR(E97/MAX($E$6:$E$167)*100,0)*'Instellingen'!$B$7,IFERROR(F97/MAX($F$6:$F$167)*100,0)*'Instellingen'!$B$8,IFERROR(G97/MAX($G$6:$G$167)*100,0)*'Instellingen'!$B$9,IFERROR(H97/MAX($H$6:$H$167)*100,0)*'Instellingen'!$B$10)/SUM('Instellingen'!$B$5:$B$10))</x:f>
        <x:v>34.5690906476038</x:v>
      </x:c>
      <x:c r="L97" t="n">
        <x:f>IF(K97="","",ROUND(('Instellingen'!$B$16+('Instellingen'!$B$17-'Instellingen'!$B$16)*POWER(K97/100,'Instellingen'!$B$18))/'Instellingen'!$B$19,0)*'Instellingen'!$B$19)</x:f>
        <x:v>824</x:v>
      </x:c>
      <x:c r="M97"/>
      <x:c r="N97" t="n">
        <x:f>IF(L97="","",MAX('Instellingen'!$B$16,MIN('Instellingen'!$B$17,L97+IF(M97="",0,M97))))</x:f>
        <x:v>824</x:v>
      </x:c>
      <x:c r="O97" t="str">
        <x:f>IF(N97="","",IF(N97&gt;='Instellingen'!$B$22,"Absolute top",IF(N97&gt;='Instellingen'!$B$23,"Kopman",IF(N97&gt;='Instellingen'!$B$24,"Sterke keuze",IF(N97&gt;='Instellingen'!$B$25,"Bruikbaar","Gok")))))</x:f>
        <x:v>Bruikbaar</x:v>
      </x:c>
      <x:c r="P97" t="str">
        <x:f>IF(A97="","",IF(D97="","Rol invullen","Compleet"))</x:f>
        <x:v>Compleet</x:v>
      </x:c>
      <x:c r="Q97" t="str">
        <x:v>https://www.procyclingstats.com/rider/emanuel-buchmann</x:v>
      </x:c>
    </x:row>
    <x:row r="98">
      <x:c r="A98" t="str">
        <x:v>RENARD Alexis</x:v>
      </x:c>
      <x:c r="B98" t="str">
        <x:v>Cofidis</x:v>
      </x:c>
      <x:c r="C98" t="str">
        <x:v>Nee</x:v>
      </x:c>
      <x:c r="D98" t="str">
        <x:v>Sprinter</x:v>
      </x:c>
      <x:c r="E98" t="n">
        <x:v>267</x:v>
      </x:c>
      <x:c r="F98" t="n">
        <x:v>1698</x:v>
      </x:c>
      <x:c r="G98" t="n">
        <x:v>32</x:v>
      </x:c>
      <x:c r="H98" t="n">
        <x:v>40</x:v>
      </x:c>
      <x:c r="I98" t="n">
        <x:f>IF(D98="","",IFERROR(VLOOKUP(D98,'Instellingen'!$D$5:$E$13,2,FALSE),""))</x:f>
        <x:v>80</x:v>
      </x:c>
      <x:c r="J98" t="n">
        <x:f>IF(C98="","",IF(C98="Ja",100,0))</x:f>
        <x:v>0</x:v>
      </x:c>
      <x:c r="K98" t="n">
        <x:f>IF(D98="","",SUM(I98*'Instellingen'!$B$5,J98*'Instellingen'!$B$6,IFERROR(E98/MAX($E$6:$E$167)*100,0)*'Instellingen'!$B$7,IFERROR(F98/MAX($F$6:$F$167)*100,0)*'Instellingen'!$B$8,IFERROR(G98/MAX($G$6:$G$167)*100,0)*'Instellingen'!$B$9,IFERROR(H98/MAX($H$6:$H$167)*100,0)*'Instellingen'!$B$10)/SUM('Instellingen'!$B$5:$B$10))</x:f>
        <x:v>16.14895182992649</x:v>
      </x:c>
      <x:c r="L98" t="n">
        <x:f>IF(K98="","",ROUND(('Instellingen'!$B$16+('Instellingen'!$B$17-'Instellingen'!$B$16)*POWER(K98/100,'Instellingen'!$B$18))/'Instellingen'!$B$19,0)*'Instellingen'!$B$19)</x:f>
        <x:v>488</x:v>
      </x:c>
      <x:c r="M98"/>
      <x:c r="N98" t="n">
        <x:f>IF(L98="","",MAX('Instellingen'!$B$16,MIN('Instellingen'!$B$17,L98+IF(M98="",0,M98))))</x:f>
        <x:v>488</x:v>
      </x:c>
      <x:c r="O98" t="str">
        <x:f>IF(N98="","",IF(N98&gt;='Instellingen'!$B$22,"Absolute top",IF(N98&gt;='Instellingen'!$B$23,"Kopman",IF(N98&gt;='Instellingen'!$B$24,"Sterke keuze",IF(N98&gt;='Instellingen'!$B$25,"Bruikbaar","Gok")))))</x:f>
        <x:v>Gok</x:v>
      </x:c>
      <x:c r="P98" t="str">
        <x:f>IF(A98="","",IF(D98="","Rol invullen","Compleet"))</x:f>
        <x:v>Compleet</x:v>
      </x:c>
      <x:c r="Q98" t="str">
        <x:v>https://www.procyclingstats.com/rider/alexis-renard</x:v>
      </x:c>
    </x:row>
    <x:row r="99">
      <x:c r="A99" t="str">
        <x:v>KIRSCH Alex</x:v>
      </x:c>
      <x:c r="B99" t="str">
        <x:v>Cofidis</x:v>
      </x:c>
      <x:c r="C99" t="str">
        <x:v>Nee</x:v>
      </x:c>
      <x:c r="D99" t="str">
        <x:v>Sprinter</x:v>
      </x:c>
      <x:c r="E99" t="n">
        <x:v>529</x:v>
      </x:c>
      <x:c r="F99" t="n">
        <x:v>1027</x:v>
      </x:c>
      <x:c r="G99" t="n">
        <x:v>130</x:v>
      </x:c>
      <x:c r="H99" t="n">
        <x:v>776</x:v>
      </x:c>
      <x:c r="I99" t="n">
        <x:f>IF(D99="","",IFERROR(VLOOKUP(D99,'Instellingen'!$D$5:$E$13,2,FALSE),""))</x:f>
        <x:v>80</x:v>
      </x:c>
      <x:c r="J99" t="n">
        <x:f>IF(C99="","",IF(C99="Ja",100,0))</x:f>
        <x:v>0</x:v>
      </x:c>
      <x:c r="K99" t="n">
        <x:f>IF(D99="","",SUM(I99*'Instellingen'!$B$5,J99*'Instellingen'!$B$6,IFERROR(E99/MAX($E$6:$E$167)*100,0)*'Instellingen'!$B$7,IFERROR(F99/MAX($F$6:$F$167)*100,0)*'Instellingen'!$B$8,IFERROR(G99/MAX($G$6:$G$167)*100,0)*'Instellingen'!$B$9,IFERROR(H99/MAX($H$6:$H$167)*100,0)*'Instellingen'!$B$10)/SUM('Instellingen'!$B$5:$B$10))</x:f>
        <x:v>16.748440160193603</x:v>
      </x:c>
      <x:c r="L99" t="n">
        <x:f>IF(K99="","",ROUND(('Instellingen'!$B$16+('Instellingen'!$B$17-'Instellingen'!$B$16)*POWER(K99/100,'Instellingen'!$B$18))/'Instellingen'!$B$19,0)*'Instellingen'!$B$19)</x:f>
        <x:v>497</x:v>
      </x:c>
      <x:c r="M99"/>
      <x:c r="N99" t="n">
        <x:f>IF(L99="","",MAX('Instellingen'!$B$16,MIN('Instellingen'!$B$17,L99+IF(M99="",0,M99))))</x:f>
        <x:v>497</x:v>
      </x:c>
      <x:c r="O99" t="str">
        <x:f>IF(N99="","",IF(N99&gt;='Instellingen'!$B$22,"Absolute top",IF(N99&gt;='Instellingen'!$B$23,"Kopman",IF(N99&gt;='Instellingen'!$B$24,"Sterke keuze",IF(N99&gt;='Instellingen'!$B$25,"Bruikbaar","Gok")))))</x:f>
        <x:v>Gok</x:v>
      </x:c>
      <x:c r="P99" t="str">
        <x:f>IF(A99="","",IF(D99="","Rol invullen","Compleet"))</x:f>
        <x:v>Compleet</x:v>
      </x:c>
      <x:c r="Q99" t="str">
        <x:v>https://www.procyclingstats.com/rider/alex-kirsch</x:v>
      </x:c>
    </x:row>
    <x:row r="100">
      <x:c r="A100" t="str">
        <x:v>MONIQUET Sylvain</x:v>
      </x:c>
      <x:c r="B100" t="str">
        <x:v>Cofidis</x:v>
      </x:c>
      <x:c r="C100" t="str">
        <x:v>Nee</x:v>
      </x:c>
      <x:c r="D100" t="str">
        <x:v>Meesterknecht</x:v>
      </x:c>
      <x:c r="E100" t="n">
        <x:v>711</x:v>
      </x:c>
      <x:c r="F100" t="n">
        <x:v>345</x:v>
      </x:c>
      <x:c r="G100" t="n">
        <x:v>602</x:v>
      </x:c>
      <x:c r="H100" t="n">
        <x:v>68</x:v>
      </x:c>
      <x:c r="I100" t="n">
        <x:f>IF(D100="","",IFERROR(VLOOKUP(D100,'Instellingen'!$D$5:$E$13,2,FALSE),""))</x:f>
        <x:v>55</x:v>
      </x:c>
      <x:c r="J100" t="n">
        <x:f>IF(C100="","",IF(C100="Ja",100,0))</x:f>
        <x:v>0</x:v>
      </x:c>
      <x:c r="K100" t="n">
        <x:f>IF(D100="","",SUM(I100*'Instellingen'!$B$5,J100*'Instellingen'!$B$6,IFERROR(E100/MAX($E$6:$E$167)*100,0)*'Instellingen'!$B$7,IFERROR(F100/MAX($F$6:$F$167)*100,0)*'Instellingen'!$B$8,IFERROR(G100/MAX($G$6:$G$167)*100,0)*'Instellingen'!$B$9,IFERROR(H100/MAX($H$6:$H$167)*100,0)*'Instellingen'!$B$10)/SUM('Instellingen'!$B$5:$B$10))</x:f>
        <x:v>12.634303958671637</x:v>
      </x:c>
      <x:c r="L100" t="n">
        <x:f>IF(K100="","",ROUND(('Instellingen'!$B$16+('Instellingen'!$B$17-'Instellingen'!$B$16)*POWER(K100/100,'Instellingen'!$B$18))/'Instellingen'!$B$19,0)*'Instellingen'!$B$19)</x:f>
        <x:v>435</x:v>
      </x:c>
      <x:c r="M100"/>
      <x:c r="N100" t="n">
        <x:f>IF(L100="","",MAX('Instellingen'!$B$16,MIN('Instellingen'!$B$17,L100+IF(M100="",0,M100))))</x:f>
        <x:v>435</x:v>
      </x:c>
      <x:c r="O100" t="str">
        <x:f>IF(N100="","",IF(N100&gt;='Instellingen'!$B$22,"Absolute top",IF(N100&gt;='Instellingen'!$B$23,"Kopman",IF(N100&gt;='Instellingen'!$B$24,"Sterke keuze",IF(N100&gt;='Instellingen'!$B$25,"Bruikbaar","Gok")))))</x:f>
        <x:v>Gok</x:v>
      </x:c>
      <x:c r="P100" t="str">
        <x:f>IF(A100="","",IF(D100="","Rol invullen","Compleet"))</x:f>
        <x:v>Compleet</x:v>
      </x:c>
      <x:c r="Q100" t="str">
        <x:v>https://www.procyclingstats.com/rider/sylvain-moniquet</x:v>
      </x:c>
    </x:row>
    <x:row r="101">
      <x:c r="A101" t="str">
        <x:v>OURSELIN Paul</x:v>
      </x:c>
      <x:c r="B101" t="str">
        <x:v>Cofidis</x:v>
      </x:c>
      <x:c r="C101" t="str">
        <x:v>Nee</x:v>
      </x:c>
      <x:c r="D101" t="str">
        <x:v>Knecht</x:v>
      </x:c>
      <x:c r="E101" t="n">
        <x:v>231</x:v>
      </x:c>
      <x:c r="F101" t="n">
        <x:v>256</x:v>
      </x:c>
      <x:c r="G101" t="n">
        <x:v>112</x:v>
      </x:c>
      <x:c r="H101" t="n">
        <x:v>34</x:v>
      </x:c>
      <x:c r="I101" t="n">
        <x:f>IF(D101="","",IFERROR(VLOOKUP(D101,'Instellingen'!$D$5:$E$13,2,FALSE),""))</x:f>
        <x:v>30</x:v>
      </x:c>
      <x:c r="J101" t="n">
        <x:f>IF(C101="","",IF(C101="Ja",100,0))</x:f>
        <x:v>0</x:v>
      </x:c>
      <x:c r="K101" t="n">
        <x:f>IF(D101="","",SUM(I101*'Instellingen'!$B$5,J101*'Instellingen'!$B$6,IFERROR(E101/MAX($E$6:$E$167)*100,0)*'Instellingen'!$B$7,IFERROR(F101/MAX($F$6:$F$167)*100,0)*'Instellingen'!$B$8,IFERROR(G101/MAX($G$6:$G$167)*100,0)*'Instellingen'!$B$9,IFERROR(H101/MAX($H$6:$H$167)*100,0)*'Instellingen'!$B$10)/SUM('Instellingen'!$B$5:$B$10))</x:f>
        <x:v>6.071690940164923</x:v>
      </x:c>
      <x:c r="L101" t="n">
        <x:f>IF(K101="","",ROUND(('Instellingen'!$B$16+('Instellingen'!$B$17-'Instellingen'!$B$16)*POWER(K101/100,'Instellingen'!$B$18))/'Instellingen'!$B$19,0)*'Instellingen'!$B$19)</x:f>
        <x:v>350</x:v>
      </x:c>
      <x:c r="M101"/>
      <x:c r="N101" t="n">
        <x:f>IF(L101="","",MAX('Instellingen'!$B$16,MIN('Instellingen'!$B$17,L101+IF(M101="",0,M101))))</x:f>
        <x:v>350</x:v>
      </x:c>
      <x:c r="O101" t="str">
        <x:f>IF(N101="","",IF(N101&gt;='Instellingen'!$B$22,"Absolute top",IF(N101&gt;='Instellingen'!$B$23,"Kopman",IF(N101&gt;='Instellingen'!$B$24,"Sterke keuze",IF(N101&gt;='Instellingen'!$B$25,"Bruikbaar","Gok")))))</x:f>
        <x:v>Gok</x:v>
      </x:c>
      <x:c r="P101" t="str">
        <x:f>IF(A101="","",IF(D101="","Rol invullen","Compleet"))</x:f>
        <x:v>Compleet</x:v>
      </x:c>
      <x:c r="Q101" t="str">
        <x:v>https://www.procyclingstats.com/rider/paul-ourselin</x:v>
      </x:c>
    </x:row>
    <x:row r="102">
      <x:c r="A102" t="str">
        <x:v>ROULAND Louis</x:v>
      </x:c>
      <x:c r="B102" t="str">
        <x:v>Cofidis</x:v>
      </x:c>
      <x:c r="C102" t="str">
        <x:v>Ja</x:v>
      </x:c>
      <x:c r="D102" t="str">
        <x:v>Knecht</x:v>
      </x:c>
      <x:c r="E102" t="n">
        <x:v>154</x:v>
      </x:c>
      <x:c r="F102" t="n">
        <x:v>78</x:v>
      </x:c>
      <x:c r="G102" t="n">
        <x:v>133</x:v>
      </x:c>
      <x:c r="H102" t="n">
        <x:v>0</x:v>
      </x:c>
      <x:c r="I102" t="n">
        <x:f>IF(D102="","",IFERROR(VLOOKUP(D102,'Instellingen'!$D$5:$E$13,2,FALSE),""))</x:f>
        <x:v>30</x:v>
      </x:c>
      <x:c r="J102" t="n">
        <x:f>IF(C102="","",IF(C102="Ja",100,0))</x:f>
        <x:v>100</x:v>
      </x:c>
      <x:c r="K102" t="n">
        <x:f>IF(D102="","",SUM(I102*'Instellingen'!$B$5,J102*'Instellingen'!$B$6,IFERROR(E102/MAX($E$6:$E$167)*100,0)*'Instellingen'!$B$7,IFERROR(F102/MAX($F$6:$F$167)*100,0)*'Instellingen'!$B$8,IFERROR(G102/MAX($G$6:$G$167)*100,0)*'Instellingen'!$B$9,IFERROR(H102/MAX($H$6:$H$167)*100,0)*'Instellingen'!$B$10)/SUM('Instellingen'!$B$5:$B$10))</x:f>
        <x:v>15.447411344750671</x:v>
      </x:c>
      <x:c r="L102" t="n">
        <x:f>IF(K102="","",ROUND(('Instellingen'!$B$16+('Instellingen'!$B$17-'Instellingen'!$B$16)*POWER(K102/100,'Instellingen'!$B$18))/'Instellingen'!$B$19,0)*'Instellingen'!$B$19)</x:f>
        <x:v>477</x:v>
      </x:c>
      <x:c r="M102"/>
      <x:c r="N102" t="n">
        <x:f>IF(L102="","",MAX('Instellingen'!$B$16,MIN('Instellingen'!$B$17,L102+IF(M102="",0,M102))))</x:f>
        <x:v>477</x:v>
      </x:c>
      <x:c r="O102" t="str">
        <x:f>IF(N102="","",IF(N102&gt;='Instellingen'!$B$22,"Absolute top",IF(N102&gt;='Instellingen'!$B$23,"Kopman",IF(N102&gt;='Instellingen'!$B$24,"Sterke keuze",IF(N102&gt;='Instellingen'!$B$25,"Bruikbaar","Gok")))))</x:f>
        <x:v>Gok</x:v>
      </x:c>
      <x:c r="P102" t="str">
        <x:f>IF(A102="","",IF(D102="","Rol invullen","Compleet"))</x:f>
        <x:v>Compleet</x:v>
      </x:c>
      <x:c r="Q102" t="str">
        <x:v>https://www.procyclingstats.com/rider/louis-rouland</x:v>
      </x:c>
    </x:row>
    <x:row r="103">
      <x:c r="A103" t="str">
        <x:v>SAMITIER Sergio</x:v>
      </x:c>
      <x:c r="B103" t="str">
        <x:v>Cofidis</x:v>
      </x:c>
      <x:c r="C103" t="str">
        <x:v>Nee</x:v>
      </x:c>
      <x:c r="D103" t="str">
        <x:v>Knecht</x:v>
      </x:c>
      <x:c r="E103" t="n">
        <x:v>360</x:v>
      </x:c>
      <x:c r="F103" t="n">
        <x:v>128</x:v>
      </x:c>
      <x:c r="G103" t="n">
        <x:v>164</x:v>
      </x:c>
      <x:c r="H103" t="n">
        <x:v>0</x:v>
      </x:c>
      <x:c r="I103" t="n">
        <x:f>IF(D103="","",IFERROR(VLOOKUP(D103,'Instellingen'!$D$5:$E$13,2,FALSE),""))</x:f>
        <x:v>30</x:v>
      </x:c>
      <x:c r="J103" t="n">
        <x:f>IF(C103="","",IF(C103="Ja",100,0))</x:f>
        <x:v>0</x:v>
      </x:c>
      <x:c r="K103" t="n">
        <x:f>IF(D103="","",SUM(I103*'Instellingen'!$B$5,J103*'Instellingen'!$B$6,IFERROR(E103/MAX($E$6:$E$167)*100,0)*'Instellingen'!$B$7,IFERROR(F103/MAX($F$6:$F$167)*100,0)*'Instellingen'!$B$8,IFERROR(G103/MAX($G$6:$G$167)*100,0)*'Instellingen'!$B$9,IFERROR(H103/MAX($H$6:$H$167)*100,0)*'Instellingen'!$B$10)/SUM('Instellingen'!$B$5:$B$10))</x:f>
        <x:v>6.416652581911957</x:v>
      </x:c>
      <x:c r="L103" t="n">
        <x:f>IF(K103="","",ROUND(('Instellingen'!$B$16+('Instellingen'!$B$17-'Instellingen'!$B$16)*POWER(K103/100,'Instellingen'!$B$18))/'Instellingen'!$B$19,0)*'Instellingen'!$B$19)</x:f>
        <x:v>354</x:v>
      </x:c>
      <x:c r="M103"/>
      <x:c r="N103" t="n">
        <x:f>IF(L103="","",MAX('Instellingen'!$B$16,MIN('Instellingen'!$B$17,L103+IF(M103="",0,M103))))</x:f>
        <x:v>354</x:v>
      </x:c>
      <x:c r="O103" t="str">
        <x:f>IF(N103="","",IF(N103&gt;='Instellingen'!$B$22,"Absolute top",IF(N103&gt;='Instellingen'!$B$23,"Kopman",IF(N103&gt;='Instellingen'!$B$24,"Sterke keuze",IF(N103&gt;='Instellingen'!$B$25,"Bruikbaar","Gok")))))</x:f>
        <x:v>Gok</x:v>
      </x:c>
      <x:c r="P103" t="str">
        <x:f>IF(A103="","",IF(D103="","Rol invullen","Compleet"))</x:f>
        <x:v>Compleet</x:v>
      </x:c>
      <x:c r="Q103" t="str">
        <x:v>https://www.procyclingstats.com/rider/sergio-samitier</x:v>
      </x:c>
    </x:row>
    <x:row r="104">
      <x:c r="A104" t="str">
        <x:v>VADER Milan</x:v>
      </x:c>
      <x:c r="B104" t="str">
        <x:v>Pinarello Q36.5 Pro Cycling Team</x:v>
      </x:c>
      <x:c r="C104" t="str">
        <x:v>Nee</x:v>
      </x:c>
      <x:c r="D104" t="str">
        <x:v>Knecht</x:v>
      </x:c>
      <x:c r="E104" t="n">
        <x:v>380</x:v>
      </x:c>
      <x:c r="F104" t="n">
        <x:v>125</x:v>
      </x:c>
      <x:c r="G104" t="n">
        <x:v>108</x:v>
      </x:c>
      <x:c r="H104" t="n">
        <x:v>1</x:v>
      </x:c>
      <x:c r="I104" t="n">
        <x:f>IF(D104="","",IFERROR(VLOOKUP(D104,'Instellingen'!$D$5:$E$13,2,FALSE),""))</x:f>
        <x:v>30</x:v>
      </x:c>
      <x:c r="J104" t="n">
        <x:f>IF(C104="","",IF(C104="Ja",100,0))</x:f>
        <x:v>0</x:v>
      </x:c>
      <x:c r="K104" t="n">
        <x:f>IF(D104="","",SUM(I104*'Instellingen'!$B$5,J104*'Instellingen'!$B$6,IFERROR(E104/MAX($E$6:$E$167)*100,0)*'Instellingen'!$B$7,IFERROR(F104/MAX($F$6:$F$167)*100,0)*'Instellingen'!$B$8,IFERROR(G104/MAX($G$6:$G$167)*100,0)*'Instellingen'!$B$9,IFERROR(H104/MAX($H$6:$H$167)*100,0)*'Instellingen'!$B$10)/SUM('Instellingen'!$B$5:$B$10))</x:f>
        <x:v>6.416384013381341</x:v>
      </x:c>
      <x:c r="L104" t="n">
        <x:f>IF(K104="","",ROUND(('Instellingen'!$B$16+('Instellingen'!$B$17-'Instellingen'!$B$16)*POWER(K104/100,'Instellingen'!$B$18))/'Instellingen'!$B$19,0)*'Instellingen'!$B$19)</x:f>
        <x:v>354</x:v>
      </x:c>
      <x:c r="M104"/>
      <x:c r="N104" t="n">
        <x:f>IF(L104="","",MAX('Instellingen'!$B$16,MIN('Instellingen'!$B$17,L104+IF(M104="",0,M104))))</x:f>
        <x:v>354</x:v>
      </x:c>
      <x:c r="O104" t="str">
        <x:f>IF(N104="","",IF(N104&gt;='Instellingen'!$B$22,"Absolute top",IF(N104&gt;='Instellingen'!$B$23,"Kopman",IF(N104&gt;='Instellingen'!$B$24,"Sterke keuze",IF(N104&gt;='Instellingen'!$B$25,"Bruikbaar","Gok")))))</x:f>
        <x:v>Gok</x:v>
      </x:c>
      <x:c r="P104" t="str">
        <x:f>IF(A104="","",IF(D104="","Rol invullen","Compleet"))</x:f>
        <x:v>Compleet</x:v>
      </x:c>
      <x:c r="Q104" t="str">
        <x:v>https://www.procyclingstats.com/rider/milan-vader</x:v>
      </x:c>
    </x:row>
    <x:row r="105">
      <x:c r="A105" t="str">
        <x:v>DE LA CRUZ David</x:v>
      </x:c>
      <x:c r="B105" t="str">
        <x:v>Pinarello Q36.5 Pro Cycling Team</x:v>
      </x:c>
      <x:c r="C105" t="str">
        <x:v>Nee</x:v>
      </x:c>
      <x:c r="D105" t="str">
        <x:v>Kopman AK</x:v>
      </x:c>
      <x:c r="E105" t="n">
        <x:v>2949</x:v>
      </x:c>
      <x:c r="F105" t="n">
        <x:v>213</x:v>
      </x:c>
      <x:c r="G105" t="n">
        <x:v>2654</x:v>
      </x:c>
      <x:c r="H105" t="n">
        <x:v>1143</x:v>
      </x:c>
      <x:c r="I105" t="n">
        <x:f>IF(D105="","",IFERROR(VLOOKUP(D105,'Instellingen'!$D$5:$E$13,2,FALSE),""))</x:f>
        <x:v>100</x:v>
      </x:c>
      <x:c r="J105" t="n">
        <x:f>IF(C105="","",IF(C105="Ja",100,0))</x:f>
        <x:v>0</x:v>
      </x:c>
      <x:c r="K105" t="n">
        <x:f>IF(D105="","",SUM(I105*'Instellingen'!$B$5,J105*'Instellingen'!$B$6,IFERROR(E105/MAX($E$6:$E$167)*100,0)*'Instellingen'!$B$7,IFERROR(F105/MAX($F$6:$F$167)*100,0)*'Instellingen'!$B$8,IFERROR(G105/MAX($G$6:$G$167)*100,0)*'Instellingen'!$B$9,IFERROR(H105/MAX($H$6:$H$167)*100,0)*'Instellingen'!$B$10)/SUM('Instellingen'!$B$5:$B$10))</x:f>
        <x:v>31.93524602161145</x:v>
      </x:c>
      <x:c r="L105" t="n">
        <x:f>IF(K105="","",ROUND(('Instellingen'!$B$16+('Instellingen'!$B$17-'Instellingen'!$B$16)*POWER(K105/100,'Instellingen'!$B$18))/'Instellingen'!$B$19,0)*'Instellingen'!$B$19)</x:f>
        <x:v>771</x:v>
      </x:c>
      <x:c r="M105"/>
      <x:c r="N105" t="n">
        <x:f>IF(L105="","",MAX('Instellingen'!$B$16,MIN('Instellingen'!$B$17,L105+IF(M105="",0,M105))))</x:f>
        <x:v>771</x:v>
      </x:c>
      <x:c r="O105" t="str">
        <x:f>IF(N105="","",IF(N105&gt;='Instellingen'!$B$22,"Absolute top",IF(N105&gt;='Instellingen'!$B$23,"Kopman",IF(N105&gt;='Instellingen'!$B$24,"Sterke keuze",IF(N105&gt;='Instellingen'!$B$25,"Bruikbaar","Gok")))))</x:f>
        <x:v>Bruikbaar</x:v>
      </x:c>
      <x:c r="P105" t="str">
        <x:f>IF(A105="","",IF(D105="","Rol invullen","Compleet"))</x:f>
        <x:v>Compleet</x:v>
      </x:c>
      <x:c r="Q105" t="str">
        <x:v>https://www.procyclingstats.com/rider/david-de-la-cruz</x:v>
      </x:c>
    </x:row>
    <x:row r="106">
      <x:c r="A106" t="str">
        <x:v>CALZONI Walter</x:v>
      </x:c>
      <x:c r="B106" t="str">
        <x:v>Pinarello Q36.5 Pro Cycling Team</x:v>
      </x:c>
      <x:c r="C106" t="str">
        <x:v>Ja</x:v>
      </x:c>
      <x:c r="D106" t="str">
        <x:v>Knecht</x:v>
      </x:c>
      <x:c r="E106" t="n">
        <x:v>212</x:v>
      </x:c>
      <x:c r="F106" t="n">
        <x:v>176</x:v>
      </x:c>
      <x:c r="G106" t="n">
        <x:v>210</x:v>
      </x:c>
      <x:c r="H106" t="n">
        <x:v>2</x:v>
      </x:c>
      <x:c r="I106" t="n">
        <x:f>IF(D106="","",IFERROR(VLOOKUP(D106,'Instellingen'!$D$5:$E$13,2,FALSE),""))</x:f>
        <x:v>30</x:v>
      </x:c>
      <x:c r="J106" t="n">
        <x:f>IF(C106="","",IF(C106="Ja",100,0))</x:f>
        <x:v>100</x:v>
      </x:c>
      <x:c r="K106" t="n">
        <x:f>IF(D106="","",SUM(I106*'Instellingen'!$B$5,J106*'Instellingen'!$B$6,IFERROR(E106/MAX($E$6:$E$167)*100,0)*'Instellingen'!$B$7,IFERROR(F106/MAX($F$6:$F$167)*100,0)*'Instellingen'!$B$8,IFERROR(G106/MAX($G$6:$G$167)*100,0)*'Instellingen'!$B$9,IFERROR(H106/MAX($H$6:$H$167)*100,0)*'Instellingen'!$B$10)/SUM('Instellingen'!$B$5:$B$10))</x:f>
        <x:v>15.963590491605498</x:v>
      </x:c>
      <x:c r="L106" t="n">
        <x:f>IF(K106="","",ROUND(('Instellingen'!$B$16+('Instellingen'!$B$17-'Instellingen'!$B$16)*POWER(K106/100,'Instellingen'!$B$18))/'Instellingen'!$B$19,0)*'Instellingen'!$B$19)</x:f>
        <x:v>485</x:v>
      </x:c>
      <x:c r="M106"/>
      <x:c r="N106" t="n">
        <x:f>IF(L106="","",MAX('Instellingen'!$B$16,MIN('Instellingen'!$B$17,L106+IF(M106="",0,M106))))</x:f>
        <x:v>485</x:v>
      </x:c>
      <x:c r="O106" t="str">
        <x:f>IF(N106="","",IF(N106&gt;='Instellingen'!$B$22,"Absolute top",IF(N106&gt;='Instellingen'!$B$23,"Kopman",IF(N106&gt;='Instellingen'!$B$24,"Sterke keuze",IF(N106&gt;='Instellingen'!$B$25,"Bruikbaar","Gok")))))</x:f>
        <x:v>Gok</x:v>
      </x:c>
      <x:c r="P106" t="str">
        <x:f>IF(A106="","",IF(D106="","Rol invullen","Compleet"))</x:f>
        <x:v>Compleet</x:v>
      </x:c>
      <x:c r="Q106" t="str">
        <x:v>https://www.procyclingstats.com/rider/walter-calzoni</x:v>
      </x:c>
    </x:row>
    <x:row r="107">
      <x:c r="A107" t="str">
        <x:v>HERRADA Jesús</x:v>
      </x:c>
      <x:c r="B107" t="str">
        <x:v>Burgos Burpellet BH</x:v>
      </x:c>
      <x:c r="C107" t="str">
        <x:v>Nee</x:v>
      </x:c>
      <x:c r="D107" t="str">
        <x:v>Meesterknecht</x:v>
      </x:c>
      <x:c r="E107" t="n">
        <x:v>1114</x:v>
      </x:c>
      <x:c r="F107" t="n">
        <x:v>618</x:v>
      </x:c>
      <x:c r="G107" t="n">
        <x:v>833</x:v>
      </x:c>
      <x:c r="H107" t="n">
        <x:v>326</x:v>
      </x:c>
      <x:c r="I107" t="n">
        <x:f>IF(D107="","",IFERROR(VLOOKUP(D107,'Instellingen'!$D$5:$E$13,2,FALSE),""))</x:f>
        <x:v>55</x:v>
      </x:c>
      <x:c r="J107" t="n">
        <x:f>IF(C107="","",IF(C107="Ja",100,0))</x:f>
        <x:v>0</x:v>
      </x:c>
      <x:c r="K107" t="n">
        <x:f>IF(D107="","",SUM(I107*'Instellingen'!$B$5,J107*'Instellingen'!$B$6,IFERROR(E107/MAX($E$6:$E$167)*100,0)*'Instellingen'!$B$7,IFERROR(F107/MAX($F$6:$F$167)*100,0)*'Instellingen'!$B$8,IFERROR(G107/MAX($G$6:$G$167)*100,0)*'Instellingen'!$B$9,IFERROR(H107/MAX($H$6:$H$167)*100,0)*'Instellingen'!$B$10)/SUM('Instellingen'!$B$5:$B$10))</x:f>
        <x:v>15.276025351635003</x:v>
      </x:c>
      <x:c r="L107" t="n">
        <x:f>IF(K107="","",ROUND(('Instellingen'!$B$16+('Instellingen'!$B$17-'Instellingen'!$B$16)*POWER(K107/100,'Instellingen'!$B$18))/'Instellingen'!$B$19,0)*'Instellingen'!$B$19)</x:f>
        <x:v>474</x:v>
      </x:c>
      <x:c r="M107"/>
      <x:c r="N107" t="n">
        <x:f>IF(L107="","",MAX('Instellingen'!$B$16,MIN('Instellingen'!$B$17,L107+IF(M107="",0,M107))))</x:f>
        <x:v>474</x:v>
      </x:c>
      <x:c r="O107" t="str">
        <x:f>IF(N107="","",IF(N107&gt;='Instellingen'!$B$22,"Absolute top",IF(N107&gt;='Instellingen'!$B$23,"Kopman",IF(N107&gt;='Instellingen'!$B$24,"Sterke keuze",IF(N107&gt;='Instellingen'!$B$25,"Bruikbaar","Gok")))))</x:f>
        <x:v>Gok</x:v>
      </x:c>
      <x:c r="P107" t="str">
        <x:f>IF(A107="","",IF(D107="","Rol invullen","Compleet"))</x:f>
        <x:v>Compleet</x:v>
      </x:c>
      <x:c r="Q107" t="str">
        <x:v>https://www.procyclingstats.com/rider/jesus-herrada-lopez</x:v>
      </x:c>
    </x:row>
    <x:row r="108">
      <x:c r="A108" t="str">
        <x:v>DÍAZ José Manuel</x:v>
      </x:c>
      <x:c r="B108" t="str">
        <x:v>Burgos Burpellet BH</x:v>
      </x:c>
      <x:c r="C108" t="str">
        <x:v>Nee</x:v>
      </x:c>
      <x:c r="D108" t="str">
        <x:v>Meesterknecht</x:v>
      </x:c>
      <x:c r="E108" t="n">
        <x:v>789</x:v>
      </x:c>
      <x:c r="F108" t="n">
        <x:v>440</x:v>
      </x:c>
      <x:c r="G108" t="n">
        <x:v>690</x:v>
      </x:c>
      <x:c r="H108" t="n">
        <x:v>0</x:v>
      </x:c>
      <x:c r="I108" t="n">
        <x:f>IF(D108="","",IFERROR(VLOOKUP(D108,'Instellingen'!$D$5:$E$13,2,FALSE),""))</x:f>
        <x:v>55</x:v>
      </x:c>
      <x:c r="J108" t="n">
        <x:f>IF(C108="","",IF(C108="Ja",100,0))</x:f>
        <x:v>0</x:v>
      </x:c>
      <x:c r="K108" t="n">
        <x:f>IF(D108="","",SUM(I108*'Instellingen'!$B$5,J108*'Instellingen'!$B$6,IFERROR(E108/MAX($E$6:$E$167)*100,0)*'Instellingen'!$B$7,IFERROR(F108/MAX($F$6:$F$167)*100,0)*'Instellingen'!$B$8,IFERROR(G108/MAX($G$6:$G$167)*100,0)*'Instellingen'!$B$9,IFERROR(H108/MAX($H$6:$H$167)*100,0)*'Instellingen'!$B$10)/SUM('Instellingen'!$B$5:$B$10))</x:f>
        <x:v>13.186803882052464</x:v>
      </x:c>
      <x:c r="L108" t="n">
        <x:f>IF(K108="","",ROUND(('Instellingen'!$B$16+('Instellingen'!$B$17-'Instellingen'!$B$16)*POWER(K108/100,'Instellingen'!$B$18))/'Instellingen'!$B$19,0)*'Instellingen'!$B$19)</x:f>
        <x:v>443</x:v>
      </x:c>
      <x:c r="M108"/>
      <x:c r="N108" t="n">
        <x:f>IF(L108="","",MAX('Instellingen'!$B$16,MIN('Instellingen'!$B$17,L108+IF(M108="",0,M108))))</x:f>
        <x:v>443</x:v>
      </x:c>
      <x:c r="O108" t="str">
        <x:f>IF(N108="","",IF(N108&gt;='Instellingen'!$B$22,"Absolute top",IF(N108&gt;='Instellingen'!$B$23,"Kopman",IF(N108&gt;='Instellingen'!$B$24,"Sterke keuze",IF(N108&gt;='Instellingen'!$B$25,"Bruikbaar","Gok")))))</x:f>
        <x:v>Gok</x:v>
      </x:c>
      <x:c r="P108" t="str">
        <x:f>IF(A108="","",IF(D108="","Rol invullen","Compleet"))</x:f>
        <x:v>Compleet</x:v>
      </x:c>
      <x:c r="Q108" t="str">
        <x:v>https://www.procyclingstats.com/rider/jose-manuel-diaz-gallego</x:v>
      </x:c>
    </x:row>
    <x:row r="109">
      <x:c r="A109" t="str">
        <x:v>CHUMIL Sergio Geovani</x:v>
      </x:c>
      <x:c r="B109" t="str">
        <x:v>Burgos Burpellet BH</x:v>
      </x:c>
      <x:c r="C109" t="str">
        <x:v>Nee</x:v>
      </x:c>
      <x:c r="D109" t="str">
        <x:v>Knecht</x:v>
      </x:c>
      <x:c r="E109" t="n">
        <x:v>173</x:v>
      </x:c>
      <x:c r="F109" t="n">
        <x:v>281</x:v>
      </x:c>
      <x:c r="G109" t="n">
        <x:v>278</x:v>
      </x:c>
      <x:c r="H109" t="n">
        <x:v>145</x:v>
      </x:c>
      <x:c r="I109" t="n">
        <x:f>IF(D109="","",IFERROR(VLOOKUP(D109,'Instellingen'!$D$5:$E$13,2,FALSE),""))</x:f>
        <x:v>30</x:v>
      </x:c>
      <x:c r="J109" t="n">
        <x:f>IF(C109="","",IF(C109="Ja",100,0))</x:f>
        <x:v>0</x:v>
      </x:c>
      <x:c r="K109" t="n">
        <x:f>IF(D109="","",SUM(I109*'Instellingen'!$B$5,J109*'Instellingen'!$B$6,IFERROR(E109/MAX($E$6:$E$167)*100,0)*'Instellingen'!$B$7,IFERROR(F109/MAX($F$6:$F$167)*100,0)*'Instellingen'!$B$8,IFERROR(G109/MAX($G$6:$G$167)*100,0)*'Instellingen'!$B$9,IFERROR(H109/MAX($H$6:$H$167)*100,0)*'Instellingen'!$B$10)/SUM('Instellingen'!$B$5:$B$10))</x:f>
        <x:v>6.195561163501036</x:v>
      </x:c>
      <x:c r="L109" t="n">
        <x:f>IF(K109="","",ROUND(('Instellingen'!$B$16+('Instellingen'!$B$17-'Instellingen'!$B$16)*POWER(K109/100,'Instellingen'!$B$18))/'Instellingen'!$B$19,0)*'Instellingen'!$B$19)</x:f>
        <x:v>351</x:v>
      </x:c>
      <x:c r="M109"/>
      <x:c r="N109" t="n">
        <x:f>IF(L109="","",MAX('Instellingen'!$B$16,MIN('Instellingen'!$B$17,L109+IF(M109="",0,M109))))</x:f>
        <x:v>351</x:v>
      </x:c>
      <x:c r="O109" t="str">
        <x:f>IF(N109="","",IF(N109&gt;='Instellingen'!$B$22,"Absolute top",IF(N109&gt;='Instellingen'!$B$23,"Kopman",IF(N109&gt;='Instellingen'!$B$24,"Sterke keuze",IF(N109&gt;='Instellingen'!$B$25,"Bruikbaar","Gok")))))</x:f>
        <x:v>Gok</x:v>
      </x:c>
      <x:c r="P109" t="str">
        <x:f>IF(A109="","",IF(D109="","Rol invullen","Compleet"))</x:f>
        <x:v>Compleet</x:v>
      </x:c>
      <x:c r="Q109" t="str">
        <x:v>https://www.procyclingstats.com/rider/sergio-geovani-chumil-gonzalez</x:v>
      </x:c>
    </x:row>
    <x:row r="110">
      <x:c r="A110" t="str">
        <x:v>FAURA José Luis</x:v>
      </x:c>
      <x:c r="B110" t="str">
        <x:v>Burgos Burpellet BH</x:v>
      </x:c>
      <x:c r="C110" t="str">
        <x:v>Nee</x:v>
      </x:c>
      <x:c r="D110" t="str">
        <x:v>Onzeker</x:v>
      </x:c>
      <x:c r="E110" t="n">
        <x:v>88</x:v>
      </x:c>
      <x:c r="F110" t="n">
        <x:v>12</x:v>
      </x:c>
      <x:c r="G110" t="n">
        <x:v>44</x:v>
      </x:c>
      <x:c r="H110" t="n">
        <x:v>5</x:v>
      </x:c>
      <x:c r="I110" t="n">
        <x:f>IF(D110="","",IFERROR(VLOOKUP(D110,'Instellingen'!$D$5:$E$13,2,FALSE),""))</x:f>
        <x:v>20</x:v>
      </x:c>
      <x:c r="J110" t="n">
        <x:f>IF(C110="","",IF(C110="Ja",100,0))</x:f>
        <x:v>0</x:v>
      </x:c>
      <x:c r="K110" t="n">
        <x:f>IF(D110="","",SUM(I110*'Instellingen'!$B$5,J110*'Instellingen'!$B$6,IFERROR(E110/MAX($E$6:$E$167)*100,0)*'Instellingen'!$B$7,IFERROR(F110/MAX($F$6:$F$167)*100,0)*'Instellingen'!$B$8,IFERROR(G110/MAX($G$6:$G$167)*100,0)*'Instellingen'!$B$9,IFERROR(H110/MAX($H$6:$H$167)*100,0)*'Instellingen'!$B$10)/SUM('Instellingen'!$B$5:$B$10))</x:f>
        <x:v>3.44390689410647</x:v>
      </x:c>
      <x:c r="L110" t="n">
        <x:f>IF(K110="","",ROUND(('Instellingen'!$B$16+('Instellingen'!$B$17-'Instellingen'!$B$16)*POWER(K110/100,'Instellingen'!$B$18))/'Instellingen'!$B$19,0)*'Instellingen'!$B$19)</x:f>
        <x:v>323</x:v>
      </x:c>
      <x:c r="M110"/>
      <x:c r="N110" t="n">
        <x:f>IF(L110="","",MAX('Instellingen'!$B$16,MIN('Instellingen'!$B$17,L110+IF(M110="",0,M110))))</x:f>
        <x:v>323</x:v>
      </x:c>
      <x:c r="O110" t="str">
        <x:f>IF(N110="","",IF(N110&gt;='Instellingen'!$B$22,"Absolute top",IF(N110&gt;='Instellingen'!$B$23,"Kopman",IF(N110&gt;='Instellingen'!$B$24,"Sterke keuze",IF(N110&gt;='Instellingen'!$B$25,"Bruikbaar","Gok")))))</x:f>
        <x:v>Gok</x:v>
      </x:c>
      <x:c r="P110" t="str">
        <x:f>IF(A110="","",IF(D110="","Rol invullen","Compleet"))</x:f>
        <x:v>Compleet</x:v>
      </x:c>
      <x:c r="Q110" t="str">
        <x:v>https://www.procyclingstats.com/rider/jose-luis-faura-asensio</x:v>
      </x:c>
    </x:row>
    <x:row r="111">
      <x:c r="A111" t="str">
        <x:v>APARICIO Mario</x:v>
      </x:c>
      <x:c r="B111" t="str">
        <x:v>Burgos Burpellet BH</x:v>
      </x:c>
      <x:c r="C111" t="str">
        <x:v>Nee</x:v>
      </x:c>
      <x:c r="D111" t="str">
        <x:v>Knecht</x:v>
      </x:c>
      <x:c r="E111" t="n">
        <x:v>401</x:v>
      </x:c>
      <x:c r="F111" t="n">
        <x:v>27</x:v>
      </x:c>
      <x:c r="G111" t="n">
        <x:v>158</x:v>
      </x:c>
      <x:c r="H111" t="n">
        <x:v>29</x:v>
      </x:c>
      <x:c r="I111" t="n">
        <x:f>IF(D111="","",IFERROR(VLOOKUP(D111,'Instellingen'!$D$5:$E$13,2,FALSE),""))</x:f>
        <x:v>30</x:v>
      </x:c>
      <x:c r="J111" t="n">
        <x:f>IF(C111="","",IF(C111="Ja",100,0))</x:f>
        <x:v>0</x:v>
      </x:c>
      <x:c r="K111" t="n">
        <x:f>IF(D111="","",SUM(I111*'Instellingen'!$B$5,J111*'Instellingen'!$B$6,IFERROR(E111/MAX($E$6:$E$167)*100,0)*'Instellingen'!$B$7,IFERROR(F111/MAX($F$6:$F$167)*100,0)*'Instellingen'!$B$8,IFERROR(G111/MAX($G$6:$G$167)*100,0)*'Instellingen'!$B$9,IFERROR(H111/MAX($H$6:$H$167)*100,0)*'Instellingen'!$B$10)/SUM('Instellingen'!$B$5:$B$10))</x:f>
        <x:v>6.420413690359016</x:v>
      </x:c>
      <x:c r="L111" t="n">
        <x:f>IF(K111="","",ROUND(('Instellingen'!$B$16+('Instellingen'!$B$17-'Instellingen'!$B$16)*POWER(K111/100,'Instellingen'!$B$18))/'Instellingen'!$B$19,0)*'Instellingen'!$B$19)</x:f>
        <x:v>354</x:v>
      </x:c>
      <x:c r="M111"/>
      <x:c r="N111" t="n">
        <x:f>IF(L111="","",MAX('Instellingen'!$B$16,MIN('Instellingen'!$B$17,L111+IF(M111="",0,M111))))</x:f>
        <x:v>354</x:v>
      </x:c>
      <x:c r="O111" t="str">
        <x:f>IF(N111="","",IF(N111&gt;='Instellingen'!$B$22,"Absolute top",IF(N111&gt;='Instellingen'!$B$23,"Kopman",IF(N111&gt;='Instellingen'!$B$24,"Sterke keuze",IF(N111&gt;='Instellingen'!$B$25,"Bruikbaar","Gok")))))</x:f>
        <x:v>Gok</x:v>
      </x:c>
      <x:c r="P111" t="str">
        <x:f>IF(A111="","",IF(D111="","Rol invullen","Compleet"))</x:f>
        <x:v>Compleet</x:v>
      </x:c>
      <x:c r="Q111" t="str">
        <x:v>https://www.procyclingstats.com/rider/mario-aparicio-munoz</x:v>
      </x:c>
    </x:row>
    <x:row r="112">
      <x:c r="A112" t="str">
        <x:v>FERNÁNDEZ Sinuhé</x:v>
      </x:c>
      <x:c r="B112" t="str">
        <x:v>Burgos Burpellet BH</x:v>
      </x:c>
      <x:c r="C112" t="str">
        <x:v>Nee</x:v>
      </x:c>
      <x:c r="D112" t="str">
        <x:v>Onzeker</x:v>
      </x:c>
      <x:c r="E112" t="n">
        <x:v>32</x:v>
      </x:c>
      <x:c r="F112" t="n">
        <x:v>3</x:v>
      </x:c>
      <x:c r="G112" t="n">
        <x:v>23</x:v>
      </x:c>
      <x:c r="H112" t="n">
        <x:v>0</x:v>
      </x:c>
      <x:c r="I112" t="n">
        <x:f>IF(D112="","",IFERROR(VLOOKUP(D112,'Instellingen'!$D$5:$E$13,2,FALSE),""))</x:f>
        <x:v>20</x:v>
      </x:c>
      <x:c r="J112" t="n">
        <x:f>IF(C112="","",IF(C112="Ja",100,0))</x:f>
        <x:v>0</x:v>
      </x:c>
      <x:c r="K112" t="n">
        <x:f>IF(D112="","",SUM(I112*'Instellingen'!$B$5,J112*'Instellingen'!$B$6,IFERROR(E112/MAX($E$6:$E$167)*100,0)*'Instellingen'!$B$7,IFERROR(F112/MAX($F$6:$F$167)*100,0)*'Instellingen'!$B$8,IFERROR(G112/MAX($G$6:$G$167)*100,0)*'Instellingen'!$B$9,IFERROR(H112/MAX($H$6:$H$167)*100,0)*'Instellingen'!$B$10)/SUM('Instellingen'!$B$5:$B$10))</x:f>
        <x:v>3.167243163533477</x:v>
      </x:c>
      <x:c r="L112" t="n">
        <x:f>IF(K112="","",ROUND(('Instellingen'!$B$16+('Instellingen'!$B$17-'Instellingen'!$B$16)*POWER(K112/100,'Instellingen'!$B$18))/'Instellingen'!$B$19,0)*'Instellingen'!$B$19)</x:f>
        <x:v>321</x:v>
      </x:c>
      <x:c r="M112"/>
      <x:c r="N112" t="n">
        <x:f>IF(L112="","",MAX('Instellingen'!$B$16,MIN('Instellingen'!$B$17,L112+IF(M112="",0,M112))))</x:f>
        <x:v>321</x:v>
      </x:c>
      <x:c r="O112" t="str">
        <x:f>IF(N112="","",IF(N112&gt;='Instellingen'!$B$22,"Absolute top",IF(N112&gt;='Instellingen'!$B$23,"Kopman",IF(N112&gt;='Instellingen'!$B$24,"Sterke keuze",IF(N112&gt;='Instellingen'!$B$25,"Bruikbaar","Gok")))))</x:f>
        <x:v>Gok</x:v>
      </x:c>
      <x:c r="P112" t="str">
        <x:f>IF(A112="","",IF(D112="","Rol invullen","Compleet"))</x:f>
        <x:v>Compleet</x:v>
      </x:c>
      <x:c r="Q112" t="str">
        <x:v>https://www.procyclingstats.com/rider/sinuhe-fernandez-rodriguez</x:v>
      </x:c>
    </x:row>
    <x:row r="113">
      <x:c r="A113" t="str">
        <x:v>ALLENO Clément</x:v>
      </x:c>
      <x:c r="B113" t="str">
        <x:v>Burgos Burpellet BH</x:v>
      </x:c>
      <x:c r="C113" t="str">
        <x:v>Nee</x:v>
      </x:c>
      <x:c r="D113" t="str">
        <x:v>Knecht</x:v>
      </x:c>
      <x:c r="E113" t="n">
        <x:v>212</x:v>
      </x:c>
      <x:c r="F113" t="n">
        <x:v>223</x:v>
      </x:c>
      <x:c r="G113" t="n">
        <x:v>38</x:v>
      </x:c>
      <x:c r="H113" t="n">
        <x:v>6</x:v>
      </x:c>
      <x:c r="I113" t="n">
        <x:f>IF(D113="","",IFERROR(VLOOKUP(D113,'Instellingen'!$D$5:$E$13,2,FALSE),""))</x:f>
        <x:v>30</x:v>
      </x:c>
      <x:c r="J113" t="n">
        <x:f>IF(C113="","",IF(C113="Ja",100,0))</x:f>
        <x:v>0</x:v>
      </x:c>
      <x:c r="K113" t="n">
        <x:f>IF(D113="","",SUM(I113*'Instellingen'!$B$5,J113*'Instellingen'!$B$6,IFERROR(E113/MAX($E$6:$E$167)*100,0)*'Instellingen'!$B$7,IFERROR(F113/MAX($F$6:$F$167)*100,0)*'Instellingen'!$B$8,IFERROR(G113/MAX($G$6:$G$167)*100,0)*'Instellingen'!$B$9,IFERROR(H113/MAX($H$6:$H$167)*100,0)*'Instellingen'!$B$10)/SUM('Instellingen'!$B$5:$B$10))</x:f>
        <x:v>5.812309843540196</x:v>
      </x:c>
      <x:c r="L113" t="n">
        <x:f>IF(K113="","",ROUND(('Instellingen'!$B$16+('Instellingen'!$B$17-'Instellingen'!$B$16)*POWER(K113/100,'Instellingen'!$B$18))/'Instellingen'!$B$19,0)*'Instellingen'!$B$19)</x:f>
        <x:v>347</x:v>
      </x:c>
      <x:c r="M113"/>
      <x:c r="N113" t="n">
        <x:f>IF(L113="","",MAX('Instellingen'!$B$16,MIN('Instellingen'!$B$17,L113+IF(M113="",0,M113))))</x:f>
        <x:v>347</x:v>
      </x:c>
      <x:c r="O113" t="str">
        <x:f>IF(N113="","",IF(N113&gt;='Instellingen'!$B$22,"Absolute top",IF(N113&gt;='Instellingen'!$B$23,"Kopman",IF(N113&gt;='Instellingen'!$B$24,"Sterke keuze",IF(N113&gt;='Instellingen'!$B$25,"Bruikbaar","Gok")))))</x:f>
        <x:v>Gok</x:v>
      </x:c>
      <x:c r="P113" t="str">
        <x:f>IF(A113="","",IF(D113="","Rol invullen","Compleet"))</x:f>
        <x:v>Compleet</x:v>
      </x:c>
      <x:c r="Q113" t="str">
        <x:v>https://www.procyclingstats.com/rider/clement-alleno</x:v>
      </x:c>
    </x:row>
    <x:row r="114">
      <x:c r="A114" t="str">
        <x:v>MACÍAS César</x:v>
      </x:c>
      <x:c r="B114" t="str">
        <x:v>Burgos Burpellet BH</x:v>
      </x:c>
      <x:c r="C114" t="str">
        <x:v>Ja</x:v>
      </x:c>
      <x:c r="D114" t="str">
        <x:v>Lead-out</x:v>
      </x:c>
      <x:c r="E114" t="n">
        <x:v>0</x:v>
      </x:c>
      <x:c r="F114" t="n">
        <x:v>528</x:v>
      </x:c>
      <x:c r="G114" t="n">
        <x:v>32</x:v>
      </x:c>
      <x:c r="H114" t="n">
        <x:v>0</x:v>
      </x:c>
      <x:c r="I114" t="n">
        <x:f>IF(D114="","",IFERROR(VLOOKUP(D114,'Instellingen'!$D$5:$E$13,2,FALSE),""))</x:f>
        <x:v>45</x:v>
      </x:c>
      <x:c r="J114" t="n">
        <x:f>IF(C114="","",IF(C114="Ja",100,0))</x:f>
        <x:v>100</x:v>
      </x:c>
      <x:c r="K114" t="n">
        <x:f>IF(D114="","",SUM(I114*'Instellingen'!$B$5,J114*'Instellingen'!$B$6,IFERROR(E114/MAX($E$6:$E$167)*100,0)*'Instellingen'!$B$7,IFERROR(F114/MAX($F$6:$F$167)*100,0)*'Instellingen'!$B$8,IFERROR(G114/MAX($G$6:$G$167)*100,0)*'Instellingen'!$B$9,IFERROR(H114/MAX($H$6:$H$167)*100,0)*'Instellingen'!$B$10)/SUM('Instellingen'!$B$5:$B$10))</x:f>
        <x:v>17.72278775520344</x:v>
      </x:c>
      <x:c r="L114" t="n">
        <x:f>IF(K114="","",ROUND(('Instellingen'!$B$16+('Instellingen'!$B$17-'Instellingen'!$B$16)*POWER(K114/100,'Instellingen'!$B$18))/'Instellingen'!$B$19,0)*'Instellingen'!$B$19)</x:f>
        <x:v>513</x:v>
      </x:c>
      <x:c r="M114"/>
      <x:c r="N114" t="n">
        <x:f>IF(L114="","",MAX('Instellingen'!$B$16,MIN('Instellingen'!$B$17,L114+IF(M114="",0,M114))))</x:f>
        <x:v>513</x:v>
      </x:c>
      <x:c r="O114" t="str">
        <x:f>IF(N114="","",IF(N114&gt;='Instellingen'!$B$22,"Absolute top",IF(N114&gt;='Instellingen'!$B$23,"Kopman",IF(N114&gt;='Instellingen'!$B$24,"Sterke keuze",IF(N114&gt;='Instellingen'!$B$25,"Bruikbaar","Gok")))))</x:f>
        <x:v>Gok</x:v>
      </x:c>
      <x:c r="P114" t="str">
        <x:f>IF(A114="","",IF(D114="","Rol invullen","Compleet"))</x:f>
        <x:v>Compleet</x:v>
      </x:c>
      <x:c r="Q114" t="str">
        <x:v>https://www.procyclingstats.com/rider/cesar-macias-estrada</x:v>
      </x:c>
    </x:row>
    <x:row r="115">
      <x:c r="A115" t="str">
        <x:v>COBO Iván</x:v>
      </x:c>
      <x:c r="B115" t="str">
        <x:v>Equipo Kern Pharma</x:v>
      </x:c>
      <x:c r="C115" t="str">
        <x:v>Nee</x:v>
      </x:c>
      <x:c r="D115" t="str">
        <x:v>Knecht</x:v>
      </x:c>
      <x:c r="E115" t="n">
        <x:v>239</x:v>
      </x:c>
      <x:c r="F115" t="n">
        <x:v>288</x:v>
      </x:c>
      <x:c r="G115" t="n">
        <x:v>224</x:v>
      </x:c>
      <x:c r="H115" t="n">
        <x:v>40</x:v>
      </x:c>
      <x:c r="I115" t="n">
        <x:f>IF(D115="","",IFERROR(VLOOKUP(D115,'Instellingen'!$D$5:$E$13,2,FALSE),""))</x:f>
        <x:v>30</x:v>
      </x:c>
      <x:c r="J115" t="n">
        <x:f>IF(C115="","",IF(C115="Ja",100,0))</x:f>
        <x:v>0</x:v>
      </x:c>
      <x:c r="K115" t="n">
        <x:f>IF(D115="","",SUM(I115*'Instellingen'!$B$5,J115*'Instellingen'!$B$6,IFERROR(E115/MAX($E$6:$E$167)*100,0)*'Instellingen'!$B$7,IFERROR(F115/MAX($F$6:$F$167)*100,0)*'Instellingen'!$B$8,IFERROR(G115/MAX($G$6:$G$167)*100,0)*'Instellingen'!$B$9,IFERROR(H115/MAX($H$6:$H$167)*100,0)*'Instellingen'!$B$10)/SUM('Instellingen'!$B$5:$B$10))</x:f>
        <x:v>6.319636102146212</x:v>
      </x:c>
      <x:c r="L115" t="n">
        <x:f>IF(K115="","",ROUND(('Instellingen'!$B$16+('Instellingen'!$B$17-'Instellingen'!$B$16)*POWER(K115/100,'Instellingen'!$B$18))/'Instellingen'!$B$19,0)*'Instellingen'!$B$19)</x:f>
        <x:v>353</x:v>
      </x:c>
      <x:c r="M115"/>
      <x:c r="N115" t="n">
        <x:f>IF(L115="","",MAX('Instellingen'!$B$16,MIN('Instellingen'!$B$17,L115+IF(M115="",0,M115))))</x:f>
        <x:v>353</x:v>
      </x:c>
      <x:c r="O115" t="str">
        <x:f>IF(N115="","",IF(N115&gt;='Instellingen'!$B$22,"Absolute top",IF(N115&gt;='Instellingen'!$B$23,"Kopman",IF(N115&gt;='Instellingen'!$B$24,"Sterke keuze",IF(N115&gt;='Instellingen'!$B$25,"Bruikbaar","Gok")))))</x:f>
        <x:v>Gok</x:v>
      </x:c>
      <x:c r="P115" t="str">
        <x:f>IF(A115="","",IF(D115="","Rol invullen","Compleet"))</x:f>
        <x:v>Compleet</x:v>
      </x:c>
      <x:c r="Q115" t="str">
        <x:v>https://www.procyclingstats.com/rider/ivan-cobo-cayon</x:v>
      </x:c>
    </x:row>
    <x:row r="116">
      <x:c r="A116" t="str">
        <x:v>BERRADE Urko</x:v>
      </x:c>
      <x:c r="B116" t="str">
        <x:v>Equipo Kern Pharma</x:v>
      </x:c>
      <x:c r="C116" t="str">
        <x:v>Nee</x:v>
      </x:c>
      <x:c r="D116" t="str">
        <x:v>Knecht</x:v>
      </x:c>
      <x:c r="E116" t="n">
        <x:v>551</x:v>
      </x:c>
      <x:c r="F116" t="n">
        <x:v>201</x:v>
      </x:c>
      <x:c r="G116" t="n">
        <x:v>370</x:v>
      </x:c>
      <x:c r="H116" t="n">
        <x:v>210</x:v>
      </x:c>
      <x:c r="I116" t="n">
        <x:f>IF(D116="","",IFERROR(VLOOKUP(D116,'Instellingen'!$D$5:$E$13,2,FALSE),""))</x:f>
        <x:v>30</x:v>
      </x:c>
      <x:c r="J116" t="n">
        <x:f>IF(C116="","",IF(C116="Ja",100,0))</x:f>
        <x:v>0</x:v>
      </x:c>
      <x:c r="K116" t="n">
        <x:f>IF(D116="","",SUM(I116*'Instellingen'!$B$5,J116*'Instellingen'!$B$6,IFERROR(E116/MAX($E$6:$E$167)*100,0)*'Instellingen'!$B$7,IFERROR(F116/MAX($F$6:$F$167)*100,0)*'Instellingen'!$B$8,IFERROR(G116/MAX($G$6:$G$167)*100,0)*'Instellingen'!$B$9,IFERROR(H116/MAX($H$6:$H$167)*100,0)*'Instellingen'!$B$10)/SUM('Instellingen'!$B$5:$B$10))</x:f>
        <x:v>7.771449669965622</x:v>
      </x:c>
      <x:c r="L116" t="n">
        <x:f>IF(K116="","",ROUND(('Instellingen'!$B$16+('Instellingen'!$B$17-'Instellingen'!$B$16)*POWER(K116/100,'Instellingen'!$B$18))/'Instellingen'!$B$19,0)*'Instellingen'!$B$19)</x:f>
        <x:v>370</x:v>
      </x:c>
      <x:c r="M116"/>
      <x:c r="N116" t="n">
        <x:f>IF(L116="","",MAX('Instellingen'!$B$16,MIN('Instellingen'!$B$17,L116+IF(M116="",0,M116))))</x:f>
        <x:v>370</x:v>
      </x:c>
      <x:c r="O116" t="str">
        <x:f>IF(N116="","",IF(N116&gt;='Instellingen'!$B$22,"Absolute top",IF(N116&gt;='Instellingen'!$B$23,"Kopman",IF(N116&gt;='Instellingen'!$B$24,"Sterke keuze",IF(N116&gt;='Instellingen'!$B$25,"Bruikbaar","Gok")))))</x:f>
        <x:v>Gok</x:v>
      </x:c>
      <x:c r="P116" t="str">
        <x:f>IF(A116="","",IF(D116="","Rol invullen","Compleet"))</x:f>
        <x:v>Compleet</x:v>
      </x:c>
      <x:c r="Q116" t="str">
        <x:v>https://www.procyclingstats.com/rider/urko-berrade-fernandez</x:v>
      </x:c>
    </x:row>
    <x:row r="117">
      <x:c r="A117" t="str">
        <x:v>BRUSTENGA Marc</x:v>
      </x:c>
      <x:c r="B117" t="str">
        <x:v>Equipo Kern Pharma</x:v>
      </x:c>
      <x:c r="C117" t="str">
        <x:v>Nee</x:v>
      </x:c>
      <x:c r="D117" t="str">
        <x:v>Lead-out</x:v>
      </x:c>
      <x:c r="E117" t="n">
        <x:v>35</x:v>
      </x:c>
      <x:c r="F117" t="n">
        <x:v>496</x:v>
      </x:c>
      <x:c r="G117" t="n">
        <x:v>12</x:v>
      </x:c>
      <x:c r="H117" t="n">
        <x:v>14</x:v>
      </x:c>
      <x:c r="I117" t="n">
        <x:f>IF(D117="","",IFERROR(VLOOKUP(D117,'Instellingen'!$D$5:$E$13,2,FALSE),""))</x:f>
        <x:v>45</x:v>
      </x:c>
      <x:c r="J117" t="n">
        <x:f>IF(C117="","",IF(C117="Ja",100,0))</x:f>
        <x:v>0</x:v>
      </x:c>
      <x:c r="K117" t="n">
        <x:f>IF(D117="","",SUM(I117*'Instellingen'!$B$5,J117*'Instellingen'!$B$6,IFERROR(E117/MAX($E$6:$E$167)*100,0)*'Instellingen'!$B$7,IFERROR(F117/MAX($F$6:$F$167)*100,0)*'Instellingen'!$B$8,IFERROR(G117/MAX($G$6:$G$167)*100,0)*'Instellingen'!$B$9,IFERROR(H117/MAX($H$6:$H$167)*100,0)*'Instellingen'!$B$10)/SUM('Instellingen'!$B$5:$B$10))</x:f>
        <x:v>7.792406675237317</x:v>
      </x:c>
      <x:c r="L117" t="n">
        <x:f>IF(K117="","",ROUND(('Instellingen'!$B$16+('Instellingen'!$B$17-'Instellingen'!$B$16)*POWER(K117/100,'Instellingen'!$B$18))/'Instellingen'!$B$19,0)*'Instellingen'!$B$19)</x:f>
        <x:v>370</x:v>
      </x:c>
      <x:c r="M117"/>
      <x:c r="N117" t="n">
        <x:f>IF(L117="","",MAX('Instellingen'!$B$16,MIN('Instellingen'!$B$17,L117+IF(M117="",0,M117))))</x:f>
        <x:v>370</x:v>
      </x:c>
      <x:c r="O117" t="str">
        <x:f>IF(N117="","",IF(N117&gt;='Instellingen'!$B$22,"Absolute top",IF(N117&gt;='Instellingen'!$B$23,"Kopman",IF(N117&gt;='Instellingen'!$B$24,"Sterke keuze",IF(N117&gt;='Instellingen'!$B$25,"Bruikbaar","Gok")))))</x:f>
        <x:v>Gok</x:v>
      </x:c>
      <x:c r="P117" t="str">
        <x:f>IF(A117="","",IF(D117="","Rol invullen","Compleet"))</x:f>
        <x:v>Compleet</x:v>
      </x:c>
      <x:c r="Q117" t="str">
        <x:v>https://www.procyclingstats.com/rider/marc-brustenga-masague</x:v>
      </x:c>
    </x:row>
    <x:row r="118">
      <x:c r="A118" t="str">
        <x:v>ELOSEGUI Iñigo</x:v>
      </x:c>
      <x:c r="B118" t="str">
        <x:v>Equipo Kern Pharma</x:v>
      </x:c>
      <x:c r="C118" t="str">
        <x:v>Nee</x:v>
      </x:c>
      <x:c r="D118" t="str">
        <x:v>Onzeker</x:v>
      </x:c>
      <x:c r="E118" t="n">
        <x:v>61</x:v>
      </x:c>
      <x:c r="F118" t="n">
        <x:v>53</x:v>
      </x:c>
      <x:c r="G118" t="n">
        <x:v>34</x:v>
      </x:c>
      <x:c r="H118" t="n">
        <x:v>58</x:v>
      </x:c>
      <x:c r="I118" t="n">
        <x:f>IF(D118="","",IFERROR(VLOOKUP(D118,'Instellingen'!$D$5:$E$13,2,FALSE),""))</x:f>
        <x:v>20</x:v>
      </x:c>
      <x:c r="J118" t="n">
        <x:f>IF(C118="","",IF(C118="Ja",100,0))</x:f>
        <x:v>0</x:v>
      </x:c>
      <x:c r="K118" t="n">
        <x:f>IF(D118="","",SUM(I118*'Instellingen'!$B$5,J118*'Instellingen'!$B$6,IFERROR(E118/MAX($E$6:$E$167)*100,0)*'Instellingen'!$B$7,IFERROR(F118/MAX($F$6:$F$167)*100,0)*'Instellingen'!$B$8,IFERROR(G118/MAX($G$6:$G$167)*100,0)*'Instellingen'!$B$9,IFERROR(H118/MAX($H$6:$H$167)*100,0)*'Instellingen'!$B$10)/SUM('Instellingen'!$B$5:$B$10))</x:f>
        <x:v>3.433954048177809</x:v>
      </x:c>
      <x:c r="L118" t="n">
        <x:f>IF(K118="","",ROUND(('Instellingen'!$B$16+('Instellingen'!$B$17-'Instellingen'!$B$16)*POWER(K118/100,'Instellingen'!$B$18))/'Instellingen'!$B$19,0)*'Instellingen'!$B$19)</x:f>
        <x:v>323</x:v>
      </x:c>
      <x:c r="M118"/>
      <x:c r="N118" t="n">
        <x:f>IF(L118="","",MAX('Instellingen'!$B$16,MIN('Instellingen'!$B$17,L118+IF(M118="",0,M118))))</x:f>
        <x:v>323</x:v>
      </x:c>
      <x:c r="O118" t="str">
        <x:f>IF(N118="","",IF(N118&gt;='Instellingen'!$B$22,"Absolute top",IF(N118&gt;='Instellingen'!$B$23,"Kopman",IF(N118&gt;='Instellingen'!$B$24,"Sterke keuze",IF(N118&gt;='Instellingen'!$B$25,"Bruikbaar","Gok")))))</x:f>
        <x:v>Gok</x:v>
      </x:c>
      <x:c r="P118" t="str">
        <x:f>IF(A118="","",IF(D118="","Rol invullen","Compleet"))</x:f>
        <x:v>Compleet</x:v>
      </x:c>
      <x:c r="Q118" t="str">
        <x:v>https://www.procyclingstats.com/rider/inigo-elosegui</x:v>
      </x:c>
    </x:row>
    <x:row r="119">
      <x:c r="A119" t="str">
        <x:v>RUIZ Ibon</x:v>
      </x:c>
      <x:c r="B119" t="str">
        <x:v>Equipo Kern Pharma</x:v>
      </x:c>
      <x:c r="C119" t="str">
        <x:v>Nee</x:v>
      </x:c>
      <x:c r="D119" t="str">
        <x:v>Knecht</x:v>
      </x:c>
      <x:c r="E119" t="n">
        <x:v>331</x:v>
      </x:c>
      <x:c r="F119" t="n">
        <x:v>220</x:v>
      </x:c>
      <x:c r="G119" t="n">
        <x:v>208</x:v>
      </x:c>
      <x:c r="H119" t="n">
        <x:v>18</x:v>
      </x:c>
      <x:c r="I119" t="n">
        <x:f>IF(D119="","",IFERROR(VLOOKUP(D119,'Instellingen'!$D$5:$E$13,2,FALSE),""))</x:f>
        <x:v>30</x:v>
      </x:c>
      <x:c r="J119" t="n">
        <x:f>IF(C119="","",IF(C119="Ja",100,0))</x:f>
        <x:v>0</x:v>
      </x:c>
      <x:c r="K119" t="n">
        <x:f>IF(D119="","",SUM(I119*'Instellingen'!$B$5,J119*'Instellingen'!$B$6,IFERROR(E119/MAX($E$6:$E$167)*100,0)*'Instellingen'!$B$7,IFERROR(F119/MAX($F$6:$F$167)*100,0)*'Instellingen'!$B$8,IFERROR(G119/MAX($G$6:$G$167)*100,0)*'Instellingen'!$B$9,IFERROR(H119/MAX($H$6:$H$167)*100,0)*'Instellingen'!$B$10)/SUM('Instellingen'!$B$5:$B$10))</x:f>
        <x:v>6.535205237959153</x:v>
      </x:c>
      <x:c r="L119" t="n">
        <x:f>IF(K119="","",ROUND(('Instellingen'!$B$16+('Instellingen'!$B$17-'Instellingen'!$B$16)*POWER(K119/100,'Instellingen'!$B$18))/'Instellingen'!$B$19,0)*'Instellingen'!$B$19)</x:f>
        <x:v>355</x:v>
      </x:c>
      <x:c r="M119"/>
      <x:c r="N119" t="n">
        <x:f>IF(L119="","",MAX('Instellingen'!$B$16,MIN('Instellingen'!$B$17,L119+IF(M119="",0,M119))))</x:f>
        <x:v>355</x:v>
      </x:c>
      <x:c r="O119" t="str">
        <x:f>IF(N119="","",IF(N119&gt;='Instellingen'!$B$22,"Absolute top",IF(N119&gt;='Instellingen'!$B$23,"Kopman",IF(N119&gt;='Instellingen'!$B$24,"Sterke keuze",IF(N119&gt;='Instellingen'!$B$25,"Bruikbaar","Gok")))))</x:f>
        <x:v>Gok</x:v>
      </x:c>
      <x:c r="P119" t="str">
        <x:f>IF(A119="","",IF(D119="","Rol invullen","Compleet"))</x:f>
        <x:v>Compleet</x:v>
      </x:c>
      <x:c r="Q119" t="str">
        <x:v>https://www.procyclingstats.com/rider/ibon-ruiz</x:v>
      </x:c>
    </x:row>
    <x:row r="120">
      <x:c r="A120" t="str">
        <x:v>SOSA Iván Ramiro</x:v>
      </x:c>
      <x:c r="B120" t="str">
        <x:v>Equipo Kern Pharma</x:v>
      </x:c>
      <x:c r="C120" t="str">
        <x:v>Nee</x:v>
      </x:c>
      <x:c r="D120" t="str">
        <x:v>Vrijbuiter</x:v>
      </x:c>
      <x:c r="E120" t="n">
        <x:v>1745</x:v>
      </x:c>
      <x:c r="F120" t="n">
        <x:v>396</x:v>
      </x:c>
      <x:c r="G120" t="n">
        <x:v>1294</x:v>
      </x:c>
      <x:c r="H120" t="n">
        <x:v>0</x:v>
      </x:c>
      <x:c r="I120" t="n">
        <x:f>IF(D120="","",IFERROR(VLOOKUP(D120,'Instellingen'!$D$5:$E$13,2,FALSE),""))</x:f>
        <x:v>65</x:v>
      </x:c>
      <x:c r="J120" t="n">
        <x:f>IF(C120="","",IF(C120="Ja",100,0))</x:f>
        <x:v>0</x:v>
      </x:c>
      <x:c r="K120" t="n">
        <x:f>IF(D120="","",SUM(I120*'Instellingen'!$B$5,J120*'Instellingen'!$B$6,IFERROR(E120/MAX($E$6:$E$167)*100,0)*'Instellingen'!$B$7,IFERROR(F120/MAX($F$6:$F$167)*100,0)*'Instellingen'!$B$8,IFERROR(G120/MAX($G$6:$G$167)*100,0)*'Instellingen'!$B$9,IFERROR(H120/MAX($H$6:$H$167)*100,0)*'Instellingen'!$B$10)/SUM('Instellingen'!$B$5:$B$10))</x:f>
        <x:v>19.3335842717092</x:v>
      </x:c>
      <x:c r="L120" t="n">
        <x:f>IF(K120="","",ROUND(('Instellingen'!$B$16+('Instellingen'!$B$17-'Instellingen'!$B$16)*POWER(K120/100,'Instellingen'!$B$18))/'Instellingen'!$B$19,0)*'Instellingen'!$B$19)</x:f>
        <x:v>539</x:v>
      </x:c>
      <x:c r="M120"/>
      <x:c r="N120" t="n">
        <x:f>IF(L120="","",MAX('Instellingen'!$B$16,MIN('Instellingen'!$B$17,L120+IF(M120="",0,M120))))</x:f>
        <x:v>539</x:v>
      </x:c>
      <x:c r="O120" t="str">
        <x:f>IF(N120="","",IF(N120&gt;='Instellingen'!$B$22,"Absolute top",IF(N120&gt;='Instellingen'!$B$23,"Kopman",IF(N120&gt;='Instellingen'!$B$24,"Sterke keuze",IF(N120&gt;='Instellingen'!$B$25,"Bruikbaar","Gok")))))</x:f>
        <x:v>Gok</x:v>
      </x:c>
      <x:c r="P120" t="str">
        <x:f>IF(A120="","",IF(D120="","Rol invullen","Compleet"))</x:f>
        <x:v>Compleet</x:v>
      </x:c>
      <x:c r="Q120" t="str">
        <x:v>https://www.procyclingstats.com/rider/ivan-ramiro-sosa</x:v>
      </x:c>
    </x:row>
    <x:row r="121">
      <x:c r="A121" t="str">
        <x:v>URIARTE Diego</x:v>
      </x:c>
      <x:c r="B121" t="str">
        <x:v>Equipo Kern Pharma</x:v>
      </x:c>
      <x:c r="C121" t="str">
        <x:v>Ja</x:v>
      </x:c>
      <x:c r="D121" t="str">
        <x:v>Onzeker</x:v>
      </x:c>
      <x:c r="E121" t="n">
        <x:v>63</x:v>
      </x:c>
      <x:c r="F121" t="n">
        <x:v>60</x:v>
      </x:c>
      <x:c r="G121" t="n">
        <x:v>15</x:v>
      </x:c>
      <x:c r="H121" t="n">
        <x:v>34</x:v>
      </x:c>
      <x:c r="I121" t="n">
        <x:f>IF(D121="","",IFERROR(VLOOKUP(D121,'Instellingen'!$D$5:$E$13,2,FALSE),""))</x:f>
        <x:v>20</x:v>
      </x:c>
      <x:c r="J121" t="n">
        <x:f>IF(C121="","",IF(C121="Ja",100,0))</x:f>
        <x:v>100</x:v>
      </x:c>
      <x:c r="K121" t="n">
        <x:f>IF(D121="","",SUM(I121*'Instellingen'!$B$5,J121*'Instellingen'!$B$6,IFERROR(E121/MAX($E$6:$E$167)*100,0)*'Instellingen'!$B$7,IFERROR(F121/MAX($F$6:$F$167)*100,0)*'Instellingen'!$B$8,IFERROR(G121/MAX($G$6:$G$167)*100,0)*'Instellingen'!$B$9,IFERROR(H121/MAX($H$6:$H$167)*100,0)*'Instellingen'!$B$10)/SUM('Instellingen'!$B$5:$B$10))</x:f>
        <x:v>13.409367318254894</x:v>
      </x:c>
      <x:c r="L121" t="n">
        <x:f>IF(K121="","",ROUND(('Instellingen'!$B$16+('Instellingen'!$B$17-'Instellingen'!$B$16)*POWER(K121/100,'Instellingen'!$B$18))/'Instellingen'!$B$19,0)*'Instellingen'!$B$19)</x:f>
        <x:v>446</x:v>
      </x:c>
      <x:c r="M121"/>
      <x:c r="N121" t="n">
        <x:f>IF(L121="","",MAX('Instellingen'!$B$16,MIN('Instellingen'!$B$17,L121+IF(M121="",0,M121))))</x:f>
        <x:v>446</x:v>
      </x:c>
      <x:c r="O121" t="str">
        <x:f>IF(N121="","",IF(N121&gt;='Instellingen'!$B$22,"Absolute top",IF(N121&gt;='Instellingen'!$B$23,"Kopman",IF(N121&gt;='Instellingen'!$B$24,"Sterke keuze",IF(N121&gt;='Instellingen'!$B$25,"Bruikbaar","Gok")))))</x:f>
        <x:v>Gok</x:v>
      </x:c>
      <x:c r="P121" t="str">
        <x:f>IF(A121="","",IF(D121="","Rol invullen","Compleet"))</x:f>
        <x:v>Compleet</x:v>
      </x:c>
      <x:c r="Q121" t="str">
        <x:v>https://www.procyclingstats.com/rider/diego-uriarte-belzunegi</x:v>
      </x:c>
    </x:row>
    <x:row r="122">
      <x:c r="A122" t="str">
        <x:v>WENZEL Mats</x:v>
      </x:c>
      <x:c r="B122" t="str">
        <x:v>Equipo Kern Pharma</x:v>
      </x:c>
      <x:c r="C122" t="str">
        <x:v>Ja</x:v>
      </x:c>
      <x:c r="D122" t="str">
        <x:v>Knecht</x:v>
      </x:c>
      <x:c r="E122" t="n">
        <x:v>219</x:v>
      </x:c>
      <x:c r="F122" t="n">
        <x:v>139</x:v>
      </x:c>
      <x:c r="G122" t="n">
        <x:v>169</x:v>
      </x:c>
      <x:c r="H122" t="n">
        <x:v>27</x:v>
      </x:c>
      <x:c r="I122" t="n">
        <x:f>IF(D122="","",IFERROR(VLOOKUP(D122,'Instellingen'!$D$5:$E$13,2,FALSE),""))</x:f>
        <x:v>30</x:v>
      </x:c>
      <x:c r="J122" t="n">
        <x:f>IF(C122="","",IF(C122="Ja",100,0))</x:f>
        <x:v>100</x:v>
      </x:c>
      <x:c r="K122" t="n">
        <x:f>IF(D122="","",SUM(I122*'Instellingen'!$B$5,J122*'Instellingen'!$B$6,IFERROR(E122/MAX($E$6:$E$167)*100,0)*'Instellingen'!$B$7,IFERROR(F122/MAX($F$6:$F$167)*100,0)*'Instellingen'!$B$8,IFERROR(G122/MAX($G$6:$G$167)*100,0)*'Instellingen'!$B$9,IFERROR(H122/MAX($H$6:$H$167)*100,0)*'Instellingen'!$B$10)/SUM('Instellingen'!$B$5:$B$10))</x:f>
        <x:v>15.890127878365723</x:v>
      </x:c>
      <x:c r="L122" t="n">
        <x:f>IF(K122="","",ROUND(('Instellingen'!$B$16+('Instellingen'!$B$17-'Instellingen'!$B$16)*POWER(K122/100,'Instellingen'!$B$18))/'Instellingen'!$B$19,0)*'Instellingen'!$B$19)</x:f>
        <x:v>484</x:v>
      </x:c>
      <x:c r="M122"/>
      <x:c r="N122" t="n">
        <x:f>IF(L122="","",MAX('Instellingen'!$B$16,MIN('Instellingen'!$B$17,L122+IF(M122="",0,M122))))</x:f>
        <x:v>484</x:v>
      </x:c>
      <x:c r="O122" t="str">
        <x:f>IF(N122="","",IF(N122&gt;='Instellingen'!$B$22,"Absolute top",IF(N122&gt;='Instellingen'!$B$23,"Kopman",IF(N122&gt;='Instellingen'!$B$24,"Sterke keuze",IF(N122&gt;='Instellingen'!$B$25,"Bruikbaar","Gok")))))</x:f>
        <x:v>Gok</x:v>
      </x:c>
      <x:c r="P122" t="str">
        <x:f>IF(A122="","",IF(D122="","Rol invullen","Compleet"))</x:f>
        <x:v>Compleet</x:v>
      </x:c>
      <x:c r="Q122" t="str">
        <x:v>https://www.procyclingstats.com/rider/mats-wenzel</x:v>
      </x:c>
    </x:row>
    <x:row r="123">
      <x:c r="A123" t="str">
        <x:v>DEBRUYNE Ramses</x:v>
      </x:c>
      <x:c r="B123" t="str">
        <x:v>Alpecin - Premier Tech</x:v>
      </x:c>
      <x:c r="C123" t="str">
        <x:v>Ja</x:v>
      </x:c>
      <x:c r="D123" t="str">
        <x:v>Knecht</x:v>
      </x:c>
      <x:c r="E123" t="n">
        <x:v>102</x:v>
      </x:c>
      <x:c r="F123" t="n">
        <x:v>216</x:v>
      </x:c>
      <x:c r="G123" t="n">
        <x:v>374</x:v>
      </x:c>
      <x:c r="H123" t="n">
        <x:v>17</x:v>
      </x:c>
      <x:c r="I123" t="n">
        <x:f>IF(D123="","",IFERROR(VLOOKUP(D123,'Instellingen'!$D$5:$E$13,2,FALSE),""))</x:f>
        <x:v>30</x:v>
      </x:c>
      <x:c r="J123" t="n">
        <x:f>IF(C123="","",IF(C123="Ja",100,0))</x:f>
        <x:v>100</x:v>
      </x:c>
      <x:c r="K123" t="n">
        <x:f>IF(D123="","",SUM(I123*'Instellingen'!$B$5,J123*'Instellingen'!$B$6,IFERROR(E123/MAX($E$6:$E$167)*100,0)*'Instellingen'!$B$7,IFERROR(F123/MAX($F$6:$F$167)*100,0)*'Instellingen'!$B$8,IFERROR(G123/MAX($G$6:$G$167)*100,0)*'Instellingen'!$B$9,IFERROR(H123/MAX($H$6:$H$167)*100,0)*'Instellingen'!$B$10)/SUM('Instellingen'!$B$5:$B$10))</x:f>
        <x:v>15.824009072930412</x:v>
      </x:c>
      <x:c r="L123" t="n">
        <x:f>IF(K123="","",ROUND(('Instellingen'!$B$16+('Instellingen'!$B$17-'Instellingen'!$B$16)*POWER(K123/100,'Instellingen'!$B$18))/'Instellingen'!$B$19,0)*'Instellingen'!$B$19)</x:f>
        <x:v>483</x:v>
      </x:c>
      <x:c r="M123"/>
      <x:c r="N123" t="n">
        <x:f>IF(L123="","",MAX('Instellingen'!$B$16,MIN('Instellingen'!$B$17,L123+IF(M123="",0,M123))))</x:f>
        <x:v>483</x:v>
      </x:c>
      <x:c r="O123" t="str">
        <x:f>IF(N123="","",IF(N123&gt;='Instellingen'!$B$22,"Absolute top",IF(N123&gt;='Instellingen'!$B$23,"Kopman",IF(N123&gt;='Instellingen'!$B$24,"Sterke keuze",IF(N123&gt;='Instellingen'!$B$25,"Bruikbaar","Gok")))))</x:f>
        <x:v>Gok</x:v>
      </x:c>
      <x:c r="P123" t="str">
        <x:f>IF(A123="","",IF(D123="","Rol invullen","Compleet"))</x:f>
        <x:v>Compleet</x:v>
      </x:c>
      <x:c r="Q123" t="str">
        <x:v>https://www.procyclingstats.com/rider/ramses-debruyne</x:v>
      </x:c>
    </x:row>
    <x:row r="124">
      <x:c r="A124" t="str">
        <x:v>GROVES Kaden</x:v>
      </x:c>
      <x:c r="B124" t="str">
        <x:v>Alpecin - Premier Tech</x:v>
      </x:c>
      <x:c r="C124" t="str">
        <x:v>Nee</x:v>
      </x:c>
      <x:c r="D124" t="str">
        <x:v>Sprinter</x:v>
      </x:c>
      <x:c r="E124" t="n">
        <x:v>291</x:v>
      </x:c>
      <x:c r="F124" t="n">
        <x:v>2106</x:v>
      </x:c>
      <x:c r="G124" t="n">
        <x:v>225</x:v>
      </x:c>
      <x:c r="H124" t="n">
        <x:v>359</x:v>
      </x:c>
      <x:c r="I124" t="n">
        <x:f>IF(D124="","",IFERROR(VLOOKUP(D124,'Instellingen'!$D$5:$E$13,2,FALSE),""))</x:f>
        <x:v>80</x:v>
      </x:c>
      <x:c r="J124" t="n">
        <x:f>IF(C124="","",IF(C124="Ja",100,0))</x:f>
        <x:v>0</x:v>
      </x:c>
      <x:c r="K124" t="n">
        <x:f>IF(D124="","",SUM(I124*'Instellingen'!$B$5,J124*'Instellingen'!$B$6,IFERROR(E124/MAX($E$6:$E$167)*100,0)*'Instellingen'!$B$7,IFERROR(F124/MAX($F$6:$F$167)*100,0)*'Instellingen'!$B$8,IFERROR(G124/MAX($G$6:$G$167)*100,0)*'Instellingen'!$B$9,IFERROR(H124/MAX($H$6:$H$167)*100,0)*'Instellingen'!$B$10)/SUM('Instellingen'!$B$5:$B$10))</x:f>
        <x:v>17.48084940528597</x:v>
      </x:c>
      <x:c r="L124" t="n">
        <x:f>IF(K124="","",ROUND(('Instellingen'!$B$16+('Instellingen'!$B$17-'Instellingen'!$B$16)*POWER(K124/100,'Instellingen'!$B$18))/'Instellingen'!$B$19,0)*'Instellingen'!$B$19)</x:f>
        <x:v>509</x:v>
      </x:c>
      <x:c r="M124"/>
      <x:c r="N124" t="n">
        <x:f>IF(L124="","",MAX('Instellingen'!$B$16,MIN('Instellingen'!$B$17,L124+IF(M124="",0,M124))))</x:f>
        <x:v>509</x:v>
      </x:c>
      <x:c r="O124" t="str">
        <x:f>IF(N124="","",IF(N124&gt;='Instellingen'!$B$22,"Absolute top",IF(N124&gt;='Instellingen'!$B$23,"Kopman",IF(N124&gt;='Instellingen'!$B$24,"Sterke keuze",IF(N124&gt;='Instellingen'!$B$25,"Bruikbaar","Gok")))))</x:f>
        <x:v>Gok</x:v>
      </x:c>
      <x:c r="P124" t="str">
        <x:f>IF(A124="","",IF(D124="","Rol invullen","Compleet"))</x:f>
        <x:v>Compleet</x:v>
      </x:c>
      <x:c r="Q124" t="str">
        <x:v>https://www.procyclingstats.com/rider/kaden-groves</x:v>
      </x:c>
    </x:row>
    <x:row r="125">
      <x:c r="A125" t="str">
        <x:v>GOGL Michael</x:v>
      </x:c>
      <x:c r="B125" t="str">
        <x:v>Alpecin - Premier Tech</x:v>
      </x:c>
      <x:c r="C125" t="str">
        <x:v>Nee</x:v>
      </x:c>
      <x:c r="D125" t="str">
        <x:v>Lead-out</x:v>
      </x:c>
      <x:c r="E125" t="n">
        <x:v>501</x:v>
      </x:c>
      <x:c r="F125" t="n">
        <x:v>662</x:v>
      </x:c>
      <x:c r="G125" t="n">
        <x:v>340</x:v>
      </x:c>
      <x:c r="H125" t="n">
        <x:v>76</x:v>
      </x:c>
      <x:c r="I125" t="n">
        <x:f>IF(D125="","",IFERROR(VLOOKUP(D125,'Instellingen'!$D$5:$E$13,2,FALSE),""))</x:f>
        <x:v>45</x:v>
      </x:c>
      <x:c r="J125" t="n">
        <x:f>IF(C125="","",IF(C125="Ja",100,0))</x:f>
        <x:v>0</x:v>
      </x:c>
      <x:c r="K125" t="n">
        <x:f>IF(D125="","",SUM(I125*'Instellingen'!$B$5,J125*'Instellingen'!$B$6,IFERROR(E125/MAX($E$6:$E$167)*100,0)*'Instellingen'!$B$7,IFERROR(F125/MAX($F$6:$F$167)*100,0)*'Instellingen'!$B$8,IFERROR(G125/MAX($G$6:$G$167)*100,0)*'Instellingen'!$B$9,IFERROR(H125/MAX($H$6:$H$167)*100,0)*'Instellingen'!$B$10)/SUM('Instellingen'!$B$5:$B$10))</x:f>
        <x:v>10.482149227977409</x:v>
      </x:c>
      <x:c r="L125" t="n">
        <x:f>IF(K125="","",ROUND(('Instellingen'!$B$16+('Instellingen'!$B$17-'Instellingen'!$B$16)*POWER(K125/100,'Instellingen'!$B$18))/'Instellingen'!$B$19,0)*'Instellingen'!$B$19)</x:f>
        <x:v>405</x:v>
      </x:c>
      <x:c r="M125"/>
      <x:c r="N125" t="n">
        <x:f>IF(L125="","",MAX('Instellingen'!$B$16,MIN('Instellingen'!$B$17,L125+IF(M125="",0,M125))))</x:f>
        <x:v>405</x:v>
      </x:c>
      <x:c r="O125" t="str">
        <x:f>IF(N125="","",IF(N125&gt;='Instellingen'!$B$22,"Absolute top",IF(N125&gt;='Instellingen'!$B$23,"Kopman",IF(N125&gt;='Instellingen'!$B$24,"Sterke keuze",IF(N125&gt;='Instellingen'!$B$25,"Bruikbaar","Gok")))))</x:f>
        <x:v>Gok</x:v>
      </x:c>
      <x:c r="P125" t="str">
        <x:f>IF(A125="","",IF(D125="","Rol invullen","Compleet"))</x:f>
        <x:v>Compleet</x:v>
      </x:c>
      <x:c r="Q125" t="str">
        <x:v>https://www.procyclingstats.com/rider/michael-gogl</x:v>
      </x:c>
    </x:row>
    <x:row r="126">
      <x:c r="A126" t="str">
        <x:v>BUSATTO Francesco</x:v>
      </x:c>
      <x:c r="B126" t="str">
        <x:v>Alpecin - Premier Tech</x:v>
      </x:c>
      <x:c r="C126" t="str">
        <x:v>Ja</x:v>
      </x:c>
      <x:c r="D126" t="str">
        <x:v>Lead-out</x:v>
      </x:c>
      <x:c r="E126" t="n">
        <x:v>113</x:v>
      </x:c>
      <x:c r="F126" t="n">
        <x:v>630</x:v>
      </x:c>
      <x:c r="G126" t="n">
        <x:v>224</x:v>
      </x:c>
      <x:c r="H126" t="n">
        <x:v>2</x:v>
      </x:c>
      <x:c r="I126" t="n">
        <x:f>IF(D126="","",IFERROR(VLOOKUP(D126,'Instellingen'!$D$5:$E$13,2,FALSE),""))</x:f>
        <x:v>45</x:v>
      </x:c>
      <x:c r="J126" t="n">
        <x:f>IF(C126="","",IF(C126="Ja",100,0))</x:f>
        <x:v>100</x:v>
      </x:c>
      <x:c r="K126" t="n">
        <x:f>IF(D126="","",SUM(I126*'Instellingen'!$B$5,J126*'Instellingen'!$B$6,IFERROR(E126/MAX($E$6:$E$167)*100,0)*'Instellingen'!$B$7,IFERROR(F126/MAX($F$6:$F$167)*100,0)*'Instellingen'!$B$8,IFERROR(G126/MAX($G$6:$G$167)*100,0)*'Instellingen'!$B$9,IFERROR(H126/MAX($H$6:$H$167)*100,0)*'Instellingen'!$B$10)/SUM('Instellingen'!$B$5:$B$10))</x:f>
        <x:v>18.628410274327493</x:v>
      </x:c>
      <x:c r="L126" t="n">
        <x:f>IF(K126="","",ROUND(('Instellingen'!$B$16+('Instellingen'!$B$17-'Instellingen'!$B$16)*POWER(K126/100,'Instellingen'!$B$18))/'Instellingen'!$B$19,0)*'Instellingen'!$B$19)</x:f>
        <x:v>528</x:v>
      </x:c>
      <x:c r="M126"/>
      <x:c r="N126" t="n">
        <x:f>IF(L126="","",MAX('Instellingen'!$B$16,MIN('Instellingen'!$B$17,L126+IF(M126="",0,M126))))</x:f>
        <x:v>528</x:v>
      </x:c>
      <x:c r="O126" t="str">
        <x:f>IF(N126="","",IF(N126&gt;='Instellingen'!$B$22,"Absolute top",IF(N126&gt;='Instellingen'!$B$23,"Kopman",IF(N126&gt;='Instellingen'!$B$24,"Sterke keuze",IF(N126&gt;='Instellingen'!$B$25,"Bruikbaar","Gok")))))</x:f>
        <x:v>Gok</x:v>
      </x:c>
      <x:c r="P126" t="str">
        <x:f>IF(A126="","",IF(D126="","Rol invullen","Compleet"))</x:f>
        <x:v>Compleet</x:v>
      </x:c>
      <x:c r="Q126" t="str">
        <x:v>https://www.procyclingstats.com/rider/francesco-busatto</x:v>
      </x:c>
    </x:row>
    <x:row r="127">
      <x:c r="A127" t="str">
        <x:v>SENTJENS Sente</x:v>
      </x:c>
      <x:c r="B127" t="str">
        <x:v>Alpecin - Premier Tech</x:v>
      </x:c>
      <x:c r="C127" t="str">
        <x:v>Ja</x:v>
      </x:c>
      <x:c r="D127" t="str">
        <x:v>Lead-out</x:v>
      </x:c>
      <x:c r="E127" t="n">
        <x:v>11</x:v>
      </x:c>
      <x:c r="F127" t="n">
        <x:v>378</x:v>
      </x:c>
      <x:c r="G127" t="n">
        <x:v>10</x:v>
      </x:c>
      <x:c r="H127" t="n">
        <x:v>2</x:v>
      </x:c>
      <x:c r="I127" t="n">
        <x:f>IF(D127="","",IFERROR(VLOOKUP(D127,'Instellingen'!$D$5:$E$13,2,FALSE),""))</x:f>
        <x:v>45</x:v>
      </x:c>
      <x:c r="J127" t="n">
        <x:f>IF(C127="","",IF(C127="Ja",100,0))</x:f>
        <x:v>100</x:v>
      </x:c>
      <x:c r="K127" t="n">
        <x:f>IF(D127="","",SUM(I127*'Instellingen'!$B$5,J127*'Instellingen'!$B$6,IFERROR(E127/MAX($E$6:$E$167)*100,0)*'Instellingen'!$B$7,IFERROR(F127/MAX($F$6:$F$167)*100,0)*'Instellingen'!$B$8,IFERROR(G127/MAX($G$6:$G$167)*100,0)*'Instellingen'!$B$9,IFERROR(H127/MAX($H$6:$H$167)*100,0)*'Instellingen'!$B$10)/SUM('Instellingen'!$B$5:$B$10))</x:f>
        <x:v>17.47498210900261</x:v>
      </x:c>
      <x:c r="L127" t="n">
        <x:f>IF(K127="","",ROUND(('Instellingen'!$B$16+('Instellingen'!$B$17-'Instellingen'!$B$16)*POWER(K127/100,'Instellingen'!$B$18))/'Instellingen'!$B$19,0)*'Instellingen'!$B$19)</x:f>
        <x:v>509</x:v>
      </x:c>
      <x:c r="M127"/>
      <x:c r="N127" t="n">
        <x:f>IF(L127="","",MAX('Instellingen'!$B$16,MIN('Instellingen'!$B$17,L127+IF(M127="",0,M127))))</x:f>
        <x:v>509</x:v>
      </x:c>
      <x:c r="O127" t="str">
        <x:f>IF(N127="","",IF(N127&gt;='Instellingen'!$B$22,"Absolute top",IF(N127&gt;='Instellingen'!$B$23,"Kopman",IF(N127&gt;='Instellingen'!$B$24,"Sterke keuze",IF(N127&gt;='Instellingen'!$B$25,"Bruikbaar","Gok")))))</x:f>
        <x:v>Gok</x:v>
      </x:c>
      <x:c r="P127" t="str">
        <x:f>IF(A127="","",IF(D127="","Rol invullen","Compleet"))</x:f>
        <x:v>Compleet</x:v>
      </x:c>
      <x:c r="Q127" t="str">
        <x:v>https://www.procyclingstats.com/rider/sente-sentjens</x:v>
      </x:c>
    </x:row>
    <x:row r="128">
      <x:c r="A128" t="str">
        <x:v>DE VYLDER Lindsay</x:v>
      </x:c>
      <x:c r="B128" t="str">
        <x:v>Alpecin - Premier Tech</x:v>
      </x:c>
      <x:c r="C128" t="str">
        <x:v>Nee</x:v>
      </x:c>
      <x:c r="D128" t="str">
        <x:v>Knecht</x:v>
      </x:c>
      <x:c r="E128" t="n">
        <x:v>5</x:v>
      </x:c>
      <x:c r="F128" t="n">
        <x:v>293</x:v>
      </x:c>
      <x:c r="G128" t="n">
        <x:v>15</x:v>
      </x:c>
      <x:c r="H128" t="n">
        <x:v>0</x:v>
      </x:c>
      <x:c r="I128" t="n">
        <x:f>IF(D128="","",IFERROR(VLOOKUP(D128,'Instellingen'!$D$5:$E$13,2,FALSE),""))</x:f>
        <x:v>30</x:v>
      </x:c>
      <x:c r="J128" t="n">
        <x:f>IF(C128="","",IF(C128="Ja",100,0))</x:f>
        <x:v>0</x:v>
      </x:c>
      <x:c r="K128" t="n">
        <x:f>IF(D128="","",SUM(I128*'Instellingen'!$B$5,J128*'Instellingen'!$B$6,IFERROR(E128/MAX($E$6:$E$167)*100,0)*'Instellingen'!$B$7,IFERROR(F128/MAX($F$6:$F$167)*100,0)*'Instellingen'!$B$8,IFERROR(G128/MAX($G$6:$G$167)*100,0)*'Instellingen'!$B$9,IFERROR(H128/MAX($H$6:$H$167)*100,0)*'Instellingen'!$B$10)/SUM('Instellingen'!$B$5:$B$10))</x:f>
        <x:v>5.056375972613562</x:v>
      </x:c>
      <x:c r="L128" t="n">
        <x:f>IF(K128="","",ROUND(('Instellingen'!$B$16+('Instellingen'!$B$17-'Instellingen'!$B$16)*POWER(K128/100,'Instellingen'!$B$18))/'Instellingen'!$B$19,0)*'Instellingen'!$B$19)</x:f>
        <x:v>339</x:v>
      </x:c>
      <x:c r="M128"/>
      <x:c r="N128" t="n">
        <x:f>IF(L128="","",MAX('Instellingen'!$B$16,MIN('Instellingen'!$B$17,L128+IF(M128="",0,M128))))</x:f>
        <x:v>339</x:v>
      </x:c>
      <x:c r="O128" t="str">
        <x:f>IF(N128="","",IF(N128&gt;='Instellingen'!$B$22,"Absolute top",IF(N128&gt;='Instellingen'!$B$23,"Kopman",IF(N128&gt;='Instellingen'!$B$24,"Sterke keuze",IF(N128&gt;='Instellingen'!$B$25,"Bruikbaar","Gok")))))</x:f>
        <x:v>Gok</x:v>
      </x:c>
      <x:c r="P128" t="str">
        <x:f>IF(A128="","",IF(D128="","Rol invullen","Compleet"))</x:f>
        <x:v>Compleet</x:v>
      </x:c>
      <x:c r="Q128" t="str">
        <x:v>https://www.procyclingstats.com/rider/lindsay-de-vylder</x:v>
      </x:c>
    </x:row>
    <x:row r="129">
      <x:c r="A129" t="str">
        <x:v>CHAMBERLAIN Oscar</x:v>
      </x:c>
      <x:c r="B129" t="str">
        <x:v>Decathlon CMA CGM Team</x:v>
      </x:c>
      <x:c r="C129" t="str">
        <x:v>Ja</x:v>
      </x:c>
      <x:c r="D129" t="str">
        <x:v>Onzeker</x:v>
      </x:c>
      <x:c r="E129" t="n">
        <x:v>25</x:v>
      </x:c>
      <x:c r="F129" t="n">
        <x:v>78</x:v>
      </x:c>
      <x:c r="G129" t="n">
        <x:v>2</x:v>
      </x:c>
      <x:c r="H129" t="n">
        <x:v>137</x:v>
      </x:c>
      <x:c r="I129" t="n">
        <x:f>IF(D129="","",IFERROR(VLOOKUP(D129,'Instellingen'!$D$5:$E$13,2,FALSE),""))</x:f>
        <x:v>20</x:v>
      </x:c>
      <x:c r="J129" t="n">
        <x:f>IF(C129="","",IF(C129="Ja",100,0))</x:f>
        <x:v>100</x:v>
      </x:c>
      <x:c r="K129" t="n">
        <x:f>IF(D129="","",SUM(I129*'Instellingen'!$B$5,J129*'Instellingen'!$B$6,IFERROR(E129/MAX($E$6:$E$167)*100,0)*'Instellingen'!$B$7,IFERROR(F129/MAX($F$6:$F$167)*100,0)*'Instellingen'!$B$8,IFERROR(G129/MAX($G$6:$G$167)*100,0)*'Instellingen'!$B$9,IFERROR(H129/MAX($H$6:$H$167)*100,0)*'Instellingen'!$B$10)/SUM('Instellingen'!$B$5:$B$10))</x:f>
        <x:v>13.349318689679153</x:v>
      </x:c>
      <x:c r="L129" t="n">
        <x:f>IF(K129="","",ROUND(('Instellingen'!$B$16+('Instellingen'!$B$17-'Instellingen'!$B$16)*POWER(K129/100,'Instellingen'!$B$18))/'Instellingen'!$B$19,0)*'Instellingen'!$B$19)</x:f>
        <x:v>445</x:v>
      </x:c>
      <x:c r="M129"/>
      <x:c r="N129" t="n">
        <x:f>IF(L129="","",MAX('Instellingen'!$B$16,MIN('Instellingen'!$B$17,L129+IF(M129="",0,M129))))</x:f>
        <x:v>445</x:v>
      </x:c>
      <x:c r="O129" t="str">
        <x:f>IF(N129="","",IF(N129&gt;='Instellingen'!$B$22,"Absolute top",IF(N129&gt;='Instellingen'!$B$23,"Kopman",IF(N129&gt;='Instellingen'!$B$24,"Sterke keuze",IF(N129&gt;='Instellingen'!$B$25,"Bruikbaar","Gok")))))</x:f>
        <x:v>Gok</x:v>
      </x:c>
      <x:c r="P129" t="str">
        <x:f>IF(A129="","",IF(D129="","Rol invullen","Compleet"))</x:f>
        <x:v>Compleet</x:v>
      </x:c>
      <x:c r="Q129" t="str">
        <x:v>https://www.procyclingstats.com/rider/oscar-chamberlain</x:v>
      </x:c>
    </x:row>
    <x:row r="130">
      <x:c r="A130" t="str">
        <x:v>DE PESTEL Sander</x:v>
      </x:c>
      <x:c r="B130" t="str">
        <x:v>Decathlon CMA CGM Team</x:v>
      </x:c>
      <x:c r="C130" t="str">
        <x:v>Nee</x:v>
      </x:c>
      <x:c r="D130" t="str">
        <x:v>Knecht</x:v>
      </x:c>
      <x:c r="E130" t="n">
        <x:v>86</x:v>
      </x:c>
      <x:c r="F130" t="n">
        <x:v>340</x:v>
      </x:c>
      <x:c r="G130" t="n">
        <x:v>4</x:v>
      </x:c>
      <x:c r="H130" t="n">
        <x:v>236</x:v>
      </x:c>
      <x:c r="I130" t="n">
        <x:f>IF(D130="","",IFERROR(VLOOKUP(D130,'Instellingen'!$D$5:$E$13,2,FALSE),""))</x:f>
        <x:v>30</x:v>
      </x:c>
      <x:c r="J130" t="n">
        <x:f>IF(C130="","",IF(C130="Ja",100,0))</x:f>
        <x:v>0</x:v>
      </x:c>
      <x:c r="K130" t="n">
        <x:f>IF(D130="","",SUM(I130*'Instellingen'!$B$5,J130*'Instellingen'!$B$6,IFERROR(E130/MAX($E$6:$E$167)*100,0)*'Instellingen'!$B$7,IFERROR(F130/MAX($F$6:$F$167)*100,0)*'Instellingen'!$B$8,IFERROR(G130/MAX($G$6:$G$167)*100,0)*'Instellingen'!$B$9,IFERROR(H130/MAX($H$6:$H$167)*100,0)*'Instellingen'!$B$10)/SUM('Instellingen'!$B$5:$B$10))</x:f>
        <x:v>5.638967318057455</x:v>
      </x:c>
      <x:c r="L130" t="n">
        <x:f>IF(K130="","",ROUND(('Instellingen'!$B$16+('Instellingen'!$B$17-'Instellingen'!$B$16)*POWER(K130/100,'Instellingen'!$B$18))/'Instellingen'!$B$19,0)*'Instellingen'!$B$19)</x:f>
        <x:v>345</x:v>
      </x:c>
      <x:c r="M130"/>
      <x:c r="N130" t="n">
        <x:f>IF(L130="","",MAX('Instellingen'!$B$16,MIN('Instellingen'!$B$17,L130+IF(M130="",0,M130))))</x:f>
        <x:v>345</x:v>
      </x:c>
      <x:c r="O130" t="str">
        <x:f>IF(N130="","",IF(N130&gt;='Instellingen'!$B$22,"Absolute top",IF(N130&gt;='Instellingen'!$B$23,"Kopman",IF(N130&gt;='Instellingen'!$B$24,"Sterke keuze",IF(N130&gt;='Instellingen'!$B$25,"Bruikbaar","Gok")))))</x:f>
        <x:v>Gok</x:v>
      </x:c>
      <x:c r="P130" t="str">
        <x:f>IF(A130="","",IF(D130="","Rol invullen","Compleet"))</x:f>
        <x:v>Compleet</x:v>
      </x:c>
      <x:c r="Q130" t="str">
        <x:v>https://www.procyclingstats.com/rider/sander-de-pestel</x:v>
      </x:c>
    </x:row>
    <x:row r="131">
      <x:c r="A131" t="str">
        <x:v>LABROSSE Jordan</x:v>
      </x:c>
      <x:c r="B131" t="str">
        <x:v>Decathlon CMA CGM Team</x:v>
      </x:c>
      <x:c r="C131" t="str">
        <x:v>Ja</x:v>
      </x:c>
      <x:c r="D131" t="str">
        <x:v>Knecht</x:v>
      </x:c>
      <x:c r="E131" t="n">
        <x:v>56</x:v>
      </x:c>
      <x:c r="F131" t="n">
        <x:v>291</x:v>
      </x:c>
      <x:c r="G131" t="n">
        <x:v>96</x:v>
      </x:c>
      <x:c r="H131" t="n">
        <x:v>71</x:v>
      </x:c>
      <x:c r="I131" t="n">
        <x:f>IF(D131="","",IFERROR(VLOOKUP(D131,'Instellingen'!$D$5:$E$13,2,FALSE),""))</x:f>
        <x:v>30</x:v>
      </x:c>
      <x:c r="J131" t="n">
        <x:f>IF(C131="","",IF(C131="Ja",100,0))</x:f>
        <x:v>100</x:v>
      </x:c>
      <x:c r="K131" t="n">
        <x:f>IF(D131="","",SUM(I131*'Instellingen'!$B$5,J131*'Instellingen'!$B$6,IFERROR(E131/MAX($E$6:$E$167)*100,0)*'Instellingen'!$B$7,IFERROR(F131/MAX($F$6:$F$167)*100,0)*'Instellingen'!$B$8,IFERROR(G131/MAX($G$6:$G$167)*100,0)*'Instellingen'!$B$9,IFERROR(H131/MAX($H$6:$H$167)*100,0)*'Instellingen'!$B$10)/SUM('Instellingen'!$B$5:$B$10))</x:f>
        <x:v>15.427881943568343</x:v>
      </x:c>
      <x:c r="L131" t="n">
        <x:f>IF(K131="","",ROUND(('Instellingen'!$B$16+('Instellingen'!$B$17-'Instellingen'!$B$16)*POWER(K131/100,'Instellingen'!$B$18))/'Instellingen'!$B$19,0)*'Instellingen'!$B$19)</x:f>
        <x:v>476</x:v>
      </x:c>
      <x:c r="M131"/>
      <x:c r="N131" t="n">
        <x:f>IF(L131="","",MAX('Instellingen'!$B$16,MIN('Instellingen'!$B$17,L131+IF(M131="",0,M131))))</x:f>
        <x:v>476</x:v>
      </x:c>
      <x:c r="O131" t="str">
        <x:f>IF(N131="","",IF(N131&gt;='Instellingen'!$B$22,"Absolute top",IF(N131&gt;='Instellingen'!$B$23,"Kopman",IF(N131&gt;='Instellingen'!$B$24,"Sterke keuze",IF(N131&gt;='Instellingen'!$B$25,"Bruikbaar","Gok")))))</x:f>
        <x:v>Gok</x:v>
      </x:c>
      <x:c r="P131" t="str">
        <x:f>IF(A131="","",IF(D131="","Rol invullen","Compleet"))</x:f>
        <x:v>Compleet</x:v>
      </x:c>
      <x:c r="Q131" t="str">
        <x:v>https://www.procyclingstats.com/rider/jordan-labrosse</x:v>
      </x:c>
    </x:row>
    <x:row r="132">
      <x:c r="A132" t="str">
        <x:v>MÜHLBERGER Gregor</x:v>
      </x:c>
      <x:c r="B132" t="str">
        <x:v>Decathlon CMA CGM Team</x:v>
      </x:c>
      <x:c r="C132" t="str">
        <x:v>Nee</x:v>
      </x:c>
      <x:c r="D132" t="str">
        <x:v>Meesterknecht</x:v>
      </x:c>
      <x:c r="E132" t="n">
        <x:v>1212</x:v>
      </x:c>
      <x:c r="F132" t="n">
        <x:v>937</x:v>
      </x:c>
      <x:c r="G132" t="n">
        <x:v>1205</x:v>
      </x:c>
      <x:c r="H132" t="n">
        <x:v>214</x:v>
      </x:c>
      <x:c r="I132" t="n">
        <x:f>IF(D132="","",IFERROR(VLOOKUP(D132,'Instellingen'!$D$5:$E$13,2,FALSE),""))</x:f>
        <x:v>55</x:v>
      </x:c>
      <x:c r="J132" t="n">
        <x:f>IF(C132="","",IF(C132="Ja",100,0))</x:f>
        <x:v>0</x:v>
      </x:c>
      <x:c r="K132" t="n">
        <x:f>IF(D132="","",SUM(I132*'Instellingen'!$B$5,J132*'Instellingen'!$B$6,IFERROR(E132/MAX($E$6:$E$167)*100,0)*'Instellingen'!$B$7,IFERROR(F132/MAX($F$6:$F$167)*100,0)*'Instellingen'!$B$8,IFERROR(G132/MAX($G$6:$G$167)*100,0)*'Instellingen'!$B$9,IFERROR(H132/MAX($H$6:$H$167)*100,0)*'Instellingen'!$B$10)/SUM('Instellingen'!$B$5:$B$10))</x:f>
        <x:v>16.66083781865376</x:v>
      </x:c>
      <x:c r="L132" t="n">
        <x:f>IF(K132="","",ROUND(('Instellingen'!$B$16+('Instellingen'!$B$17-'Instellingen'!$B$16)*POWER(K132/100,'Instellingen'!$B$18))/'Instellingen'!$B$19,0)*'Instellingen'!$B$19)</x:f>
        <x:v>496</x:v>
      </x:c>
      <x:c r="M132"/>
      <x:c r="N132" t="n">
        <x:f>IF(L132="","",MAX('Instellingen'!$B$16,MIN('Instellingen'!$B$17,L132+IF(M132="",0,M132))))</x:f>
        <x:v>496</x:v>
      </x:c>
      <x:c r="O132" t="str">
        <x:f>IF(N132="","",IF(N132&gt;='Instellingen'!$B$22,"Absolute top",IF(N132&gt;='Instellingen'!$B$23,"Kopman",IF(N132&gt;='Instellingen'!$B$24,"Sterke keuze",IF(N132&gt;='Instellingen'!$B$25,"Bruikbaar","Gok")))))</x:f>
        <x:v>Gok</x:v>
      </x:c>
      <x:c r="P132" t="str">
        <x:f>IF(A132="","",IF(D132="","Rol invullen","Compleet"))</x:f>
        <x:v>Compleet</x:v>
      </x:c>
      <x:c r="Q132" t="str">
        <x:v>https://www.procyclingstats.com/rider/gregor-muhlberger</x:v>
      </x:c>
    </x:row>
    <x:row r="133">
      <x:c r="A133" t="str">
        <x:v>SCOTSON Callum</x:v>
      </x:c>
      <x:c r="B133" t="str">
        <x:v>Decathlon CMA CGM Team</x:v>
      </x:c>
      <x:c r="C133" t="str">
        <x:v>Nee</x:v>
      </x:c>
      <x:c r="D133" t="str">
        <x:v>Knecht</x:v>
      </x:c>
      <x:c r="E133" t="n">
        <x:v>513</x:v>
      </x:c>
      <x:c r="F133" t="n">
        <x:v>95</x:v>
      </x:c>
      <x:c r="G133" t="n">
        <x:v>208</x:v>
      </x:c>
      <x:c r="H133" t="n">
        <x:v>127</x:v>
      </x:c>
      <x:c r="I133" t="n">
        <x:f>IF(D133="","",IFERROR(VLOOKUP(D133,'Instellingen'!$D$5:$E$13,2,FALSE),""))</x:f>
        <x:v>30</x:v>
      </x:c>
      <x:c r="J133" t="n">
        <x:f>IF(C133="","",IF(C133="Ja",100,0))</x:f>
        <x:v>0</x:v>
      </x:c>
      <x:c r="K133" t="n">
        <x:f>IF(D133="","",SUM(I133*'Instellingen'!$B$5,J133*'Instellingen'!$B$6,IFERROR(E133/MAX($E$6:$E$167)*100,0)*'Instellingen'!$B$7,IFERROR(F133/MAX($F$6:$F$167)*100,0)*'Instellingen'!$B$8,IFERROR(G133/MAX($G$6:$G$167)*100,0)*'Instellingen'!$B$9,IFERROR(H133/MAX($H$6:$H$167)*100,0)*'Instellingen'!$B$10)/SUM('Instellingen'!$B$5:$B$10))</x:f>
        <x:v>7.1418287341501125</x:v>
      </x:c>
      <x:c r="L133" t="n">
        <x:f>IF(K133="","",ROUND(('Instellingen'!$B$16+('Instellingen'!$B$17-'Instellingen'!$B$16)*POWER(K133/100,'Instellingen'!$B$18))/'Instellingen'!$B$19,0)*'Instellingen'!$B$19)</x:f>
        <x:v>362</x:v>
      </x:c>
      <x:c r="M133"/>
      <x:c r="N133" t="n">
        <x:f>IF(L133="","",MAX('Instellingen'!$B$16,MIN('Instellingen'!$B$17,L133+IF(M133="",0,M133))))</x:f>
        <x:v>362</x:v>
      </x:c>
      <x:c r="O133" t="str">
        <x:f>IF(N133="","",IF(N133&gt;='Instellingen'!$B$22,"Absolute top",IF(N133&gt;='Instellingen'!$B$23,"Kopman",IF(N133&gt;='Instellingen'!$B$24,"Sterke keuze",IF(N133&gt;='Instellingen'!$B$25,"Bruikbaar","Gok")))))</x:f>
        <x:v>Gok</x:v>
      </x:c>
      <x:c r="P133" t="str">
        <x:f>IF(A133="","",IF(D133="","Rol invullen","Compleet"))</x:f>
        <x:v>Compleet</x:v>
      </x:c>
      <x:c r="Q133" t="str">
        <x:v>https://www.procyclingstats.com/rider/callum-scotson</x:v>
      </x:c>
    </x:row>
    <x:row r="134">
      <x:c r="A134" t="str">
        <x:v>ALBANESE Vincenzo</x:v>
      </x:c>
      <x:c r="B134" t="str">
        <x:v>EF Education - EasyPost</x:v>
      </x:c>
      <x:c r="C134" t="str">
        <x:v>Nee</x:v>
      </x:c>
      <x:c r="D134" t="str">
        <x:v>Sprinter</x:v>
      </x:c>
      <x:c r="E134" t="n">
        <x:v>511</x:v>
      </x:c>
      <x:c r="F134" t="n">
        <x:v>2059</x:v>
      </x:c>
      <x:c r="G134" t="n">
        <x:v>618</x:v>
      </x:c>
      <x:c r="H134" t="n">
        <x:v>28</x:v>
      </x:c>
      <x:c r="I134" t="n">
        <x:f>IF(D134="","",IFERROR(VLOOKUP(D134,'Instellingen'!$D$5:$E$13,2,FALSE),""))</x:f>
        <x:v>80</x:v>
      </x:c>
      <x:c r="J134" t="n">
        <x:f>IF(C134="","",IF(C134="Ja",100,0))</x:f>
        <x:v>0</x:v>
      </x:c>
      <x:c r="K134" t="n">
        <x:f>IF(D134="","",SUM(I134*'Instellingen'!$B$5,J134*'Instellingen'!$B$6,IFERROR(E134/MAX($E$6:$E$167)*100,0)*'Instellingen'!$B$7,IFERROR(F134/MAX($F$6:$F$167)*100,0)*'Instellingen'!$B$8,IFERROR(G134/MAX($G$6:$G$167)*100,0)*'Instellingen'!$B$9,IFERROR(H134/MAX($H$6:$H$167)*100,0)*'Instellingen'!$B$10)/SUM('Instellingen'!$B$5:$B$10))</x:f>
        <x:v>18.57548548496845</x:v>
      </x:c>
      <x:c r="L134" t="n">
        <x:f>IF(K134="","",ROUND(('Instellingen'!$B$16+('Instellingen'!$B$17-'Instellingen'!$B$16)*POWER(K134/100,'Instellingen'!$B$18))/'Instellingen'!$B$19,0)*'Instellingen'!$B$19)</x:f>
        <x:v>527</x:v>
      </x:c>
      <x:c r="M134"/>
      <x:c r="N134" t="n">
        <x:f>IF(L134="","",MAX('Instellingen'!$B$16,MIN('Instellingen'!$B$17,L134+IF(M134="",0,M134))))</x:f>
        <x:v>527</x:v>
      </x:c>
      <x:c r="O134" t="str">
        <x:f>IF(N134="","",IF(N134&gt;='Instellingen'!$B$22,"Absolute top",IF(N134&gt;='Instellingen'!$B$23,"Kopman",IF(N134&gt;='Instellingen'!$B$24,"Sterke keuze",IF(N134&gt;='Instellingen'!$B$25,"Bruikbaar","Gok")))))</x:f>
        <x:v>Gok</x:v>
      </x:c>
      <x:c r="P134" t="str">
        <x:f>IF(A134="","",IF(D134="","Rol invullen","Compleet"))</x:f>
        <x:v>Compleet</x:v>
      </x:c>
      <x:c r="Q134" t="str">
        <x:v>https://www.procyclingstats.com/rider/vincenzo-albanese</x:v>
      </x:c>
    </x:row>
    <x:row r="135">
      <x:c r="A135" t="str">
        <x:v>BELOKI Markel</x:v>
      </x:c>
      <x:c r="B135" t="str">
        <x:v>EF Education - EasyPost</x:v>
      </x:c>
      <x:c r="C135" t="str">
        <x:v>Ja</x:v>
      </x:c>
      <x:c r="D135" t="str">
        <x:v>Knecht</x:v>
      </x:c>
      <x:c r="E135" t="n">
        <x:v>310</x:v>
      </x:c>
      <x:c r="F135" t="n">
        <x:v>47</x:v>
      </x:c>
      <x:c r="G135" t="n">
        <x:v>245</x:v>
      </x:c>
      <x:c r="H135" t="n">
        <x:v>58</x:v>
      </x:c>
      <x:c r="I135" t="n">
        <x:f>IF(D135="","",IFERROR(VLOOKUP(D135,'Instellingen'!$D$5:$E$13,2,FALSE),""))</x:f>
        <x:v>30</x:v>
      </x:c>
      <x:c r="J135" t="n">
        <x:f>IF(C135="","",IF(C135="Ja",100,0))</x:f>
        <x:v>100</x:v>
      </x:c>
      <x:c r="K135" t="n">
        <x:f>IF(D135="","",SUM(I135*'Instellingen'!$B$5,J135*'Instellingen'!$B$6,IFERROR(E135/MAX($E$6:$E$167)*100,0)*'Instellingen'!$B$7,IFERROR(F135/MAX($F$6:$F$167)*100,0)*'Instellingen'!$B$8,IFERROR(G135/MAX($G$6:$G$167)*100,0)*'Instellingen'!$B$9,IFERROR(H135/MAX($H$6:$H$167)*100,0)*'Instellingen'!$B$10)/SUM('Instellingen'!$B$5:$B$10))</x:f>
        <x:v>16.227855973119897</x:v>
      </x:c>
      <x:c r="L135" t="n">
        <x:f>IF(K135="","",ROUND(('Instellingen'!$B$16+('Instellingen'!$B$17-'Instellingen'!$B$16)*POWER(K135/100,'Instellingen'!$B$18))/'Instellingen'!$B$19,0)*'Instellingen'!$B$19)</x:f>
        <x:v>489</x:v>
      </x:c>
      <x:c r="M135"/>
      <x:c r="N135" t="n">
        <x:f>IF(L135="","",MAX('Instellingen'!$B$16,MIN('Instellingen'!$B$17,L135+IF(M135="",0,M135))))</x:f>
        <x:v>489</x:v>
      </x:c>
      <x:c r="O135" t="str">
        <x:f>IF(N135="","",IF(N135&gt;='Instellingen'!$B$22,"Absolute top",IF(N135&gt;='Instellingen'!$B$23,"Kopman",IF(N135&gt;='Instellingen'!$B$24,"Sterke keuze",IF(N135&gt;='Instellingen'!$B$25,"Bruikbaar","Gok")))))</x:f>
        <x:v>Gok</x:v>
      </x:c>
      <x:c r="P135" t="str">
        <x:f>IF(A135="","",IF(D135="","Rol invullen","Compleet"))</x:f>
        <x:v>Compleet</x:v>
      </x:c>
      <x:c r="Q135" t="str">
        <x:v>https://www.procyclingstats.com/rider/markel-beloki</x:v>
      </x:c>
    </x:row>
    <x:row r="136">
      <x:c r="A136" t="str">
        <x:v>MACKELLAR Alastair</x:v>
      </x:c>
      <x:c r="B136" t="str">
        <x:v>EF Education - EasyPost</x:v>
      </x:c>
      <x:c r="C136" t="str">
        <x:v>Ja</x:v>
      </x:c>
      <x:c r="D136" t="str">
        <x:v>Onzeker</x:v>
      </x:c>
      <x:c r="E136" t="n">
        <x:v>43</x:v>
      </x:c>
      <x:c r="F136" t="n">
        <x:v>36</x:v>
      </x:c>
      <x:c r="G136" t="n">
        <x:v>38</x:v>
      </x:c>
      <x:c r="H136" t="n">
        <x:v>48</x:v>
      </x:c>
      <x:c r="I136" t="n">
        <x:f>IF(D136="","",IFERROR(VLOOKUP(D136,'Instellingen'!$D$5:$E$13,2,FALSE),""))</x:f>
        <x:v>20</x:v>
      </x:c>
      <x:c r="J136" t="n">
        <x:f>IF(C136="","",IF(C136="Ja",100,0))</x:f>
        <x:v>100</x:v>
      </x:c>
      <x:c r="K136" t="n">
        <x:f>IF(D136="","",SUM(I136*'Instellingen'!$B$5,J136*'Instellingen'!$B$6,IFERROR(E136/MAX($E$6:$E$167)*100,0)*'Instellingen'!$B$7,IFERROR(F136/MAX($F$6:$F$167)*100,0)*'Instellingen'!$B$8,IFERROR(G136/MAX($G$6:$G$167)*100,0)*'Instellingen'!$B$9,IFERROR(H136/MAX($H$6:$H$167)*100,0)*'Instellingen'!$B$10)/SUM('Instellingen'!$B$5:$B$10))</x:f>
        <x:v>13.328440036392896</x:v>
      </x:c>
      <x:c r="L136" t="n">
        <x:f>IF(K136="","",ROUND(('Instellingen'!$B$16+('Instellingen'!$B$17-'Instellingen'!$B$16)*POWER(K136/100,'Instellingen'!$B$18))/'Instellingen'!$B$19,0)*'Instellingen'!$B$19)</x:f>
        <x:v>445</x:v>
      </x:c>
      <x:c r="M136"/>
      <x:c r="N136" t="n">
        <x:f>IF(L136="","",MAX('Instellingen'!$B$16,MIN('Instellingen'!$B$17,L136+IF(M136="",0,M136))))</x:f>
        <x:v>445</x:v>
      </x:c>
      <x:c r="O136" t="str">
        <x:f>IF(N136="","",IF(N136&gt;='Instellingen'!$B$22,"Absolute top",IF(N136&gt;='Instellingen'!$B$23,"Kopman",IF(N136&gt;='Instellingen'!$B$24,"Sterke keuze",IF(N136&gt;='Instellingen'!$B$25,"Bruikbaar","Gok")))))</x:f>
        <x:v>Gok</x:v>
      </x:c>
      <x:c r="P136" t="str">
        <x:f>IF(A136="","",IF(D136="","Rol invullen","Compleet"))</x:f>
        <x:v>Compleet</x:v>
      </x:c>
      <x:c r="Q136" t="str">
        <x:v>https://www.procyclingstats.com/rider/alastair-mackellar</x:v>
      </x:c>
    </x:row>
    <x:row r="137">
      <x:c r="A137" t="str">
        <x:v>RAFFERTY Darren</x:v>
      </x:c>
      <x:c r="B137" t="str">
        <x:v>EF Education - EasyPost</x:v>
      </x:c>
      <x:c r="C137" t="str">
        <x:v>Ja</x:v>
      </x:c>
      <x:c r="D137" t="str">
        <x:v>Knecht</x:v>
      </x:c>
      <x:c r="E137" t="n">
        <x:v>177</x:v>
      </x:c>
      <x:c r="F137" t="n">
        <x:v>134</x:v>
      </x:c>
      <x:c r="G137" t="n">
        <x:v>117</x:v>
      </x:c>
      <x:c r="H137" t="n">
        <x:v>181</x:v>
      </x:c>
      <x:c r="I137" t="n">
        <x:f>IF(D137="","",IFERROR(VLOOKUP(D137,'Instellingen'!$D$5:$E$13,2,FALSE),""))</x:f>
        <x:v>30</x:v>
      </x:c>
      <x:c r="J137" t="n">
        <x:f>IF(C137="","",IF(C137="Ja",100,0))</x:f>
        <x:v>100</x:v>
      </x:c>
      <x:c r="K137" t="n">
        <x:f>IF(D137="","",SUM(I137*'Instellingen'!$B$5,J137*'Instellingen'!$B$6,IFERROR(E137/MAX($E$6:$E$167)*100,0)*'Instellingen'!$B$7,IFERROR(F137/MAX($F$6:$F$167)*100,0)*'Instellingen'!$B$8,IFERROR(G137/MAX($G$6:$G$167)*100,0)*'Instellingen'!$B$9,IFERROR(H137/MAX($H$6:$H$167)*100,0)*'Instellingen'!$B$10)/SUM('Instellingen'!$B$5:$B$10))</x:f>
        <x:v>15.759640657513467</x:v>
      </x:c>
      <x:c r="L137" t="n">
        <x:f>IF(K137="","",ROUND(('Instellingen'!$B$16+('Instellingen'!$B$17-'Instellingen'!$B$16)*POWER(K137/100,'Instellingen'!$B$18))/'Instellingen'!$B$19,0)*'Instellingen'!$B$19)</x:f>
        <x:v>482</x:v>
      </x:c>
      <x:c r="M137"/>
      <x:c r="N137" t="n">
        <x:f>IF(L137="","",MAX('Instellingen'!$B$16,MIN('Instellingen'!$B$17,L137+IF(M137="",0,M137))))</x:f>
        <x:v>482</x:v>
      </x:c>
      <x:c r="O137" t="str">
        <x:f>IF(N137="","",IF(N137&gt;='Instellingen'!$B$22,"Absolute top",IF(N137&gt;='Instellingen'!$B$23,"Kopman",IF(N137&gt;='Instellingen'!$B$24,"Sterke keuze",IF(N137&gt;='Instellingen'!$B$25,"Bruikbaar","Gok")))))</x:f>
        <x:v>Gok</x:v>
      </x:c>
      <x:c r="P137" t="str">
        <x:f>IF(A137="","",IF(D137="","Rol invullen","Compleet"))</x:f>
        <x:v>Compleet</x:v>
      </x:c>
      <x:c r="Q137" t="str">
        <x:v>https://www.procyclingstats.com/rider/darren-rafferty</x:v>
      </x:c>
    </x:row>
    <x:row r="138">
      <x:c r="A138" t="str">
        <x:v>STEINHAUSER Georg</x:v>
      </x:c>
      <x:c r="B138" t="str">
        <x:v>EF Education - EasyPost</x:v>
      </x:c>
      <x:c r="C138" t="str">
        <x:v>Ja</x:v>
      </x:c>
      <x:c r="D138" t="str">
        <x:v>Knecht</x:v>
      </x:c>
      <x:c r="E138" t="n">
        <x:v>451</x:v>
      </x:c>
      <x:c r="F138" t="n">
        <x:v>264</x:v>
      </x:c>
      <x:c r="G138" t="n">
        <x:v>608</x:v>
      </x:c>
      <x:c r="H138" t="n">
        <x:v>121</x:v>
      </x:c>
      <x:c r="I138" t="n">
        <x:f>IF(D138="","",IFERROR(VLOOKUP(D138,'Instellingen'!$D$5:$E$13,2,FALSE),""))</x:f>
        <x:v>30</x:v>
      </x:c>
      <x:c r="J138" t="n">
        <x:f>IF(C138="","",IF(C138="Ja",100,0))</x:f>
        <x:v>100</x:v>
      </x:c>
      <x:c r="K138" t="n">
        <x:f>IF(D138="","",SUM(I138*'Instellingen'!$B$5,J138*'Instellingen'!$B$6,IFERROR(E138/MAX($E$6:$E$167)*100,0)*'Instellingen'!$B$7,IFERROR(F138/MAX($F$6:$F$167)*100,0)*'Instellingen'!$B$8,IFERROR(G138/MAX($G$6:$G$167)*100,0)*'Instellingen'!$B$9,IFERROR(H138/MAX($H$6:$H$167)*100,0)*'Instellingen'!$B$10)/SUM('Instellingen'!$B$5:$B$10))</x:f>
        <x:v>17.733348540685345</x:v>
      </x:c>
      <x:c r="L138" t="n">
        <x:f>IF(K138="","",ROUND(('Instellingen'!$B$16+('Instellingen'!$B$17-'Instellingen'!$B$16)*POWER(K138/100,'Instellingen'!$B$18))/'Instellingen'!$B$19,0)*'Instellingen'!$B$19)</x:f>
        <x:v>513</x:v>
      </x:c>
      <x:c r="M138"/>
      <x:c r="N138" t="n">
        <x:f>IF(L138="","",MAX('Instellingen'!$B$16,MIN('Instellingen'!$B$17,L138+IF(M138="",0,M138))))</x:f>
        <x:v>513</x:v>
      </x:c>
      <x:c r="O138" t="str">
        <x:f>IF(N138="","",IF(N138&gt;='Instellingen'!$B$22,"Absolute top",IF(N138&gt;='Instellingen'!$B$23,"Kopman",IF(N138&gt;='Instellingen'!$B$24,"Sterke keuze",IF(N138&gt;='Instellingen'!$B$25,"Bruikbaar","Gok")))))</x:f>
        <x:v>Gok</x:v>
      </x:c>
      <x:c r="P138" t="str">
        <x:f>IF(A138="","",IF(D138="","Rol invullen","Compleet"))</x:f>
        <x:v>Compleet</x:v>
      </x:c>
      <x:c r="Q138" t="str">
        <x:v>https://www.procyclingstats.com/rider/georg-steinhauser</x:v>
      </x:c>
    </x:row>
    <x:row r="139">
      <x:c r="A139" t="str">
        <x:v>RODRIGUEZ Juan Felipe</x:v>
      </x:c>
      <x:c r="B139" t="str">
        <x:v>EF Education - EasyPost</x:v>
      </x:c>
      <x:c r="C139" t="str">
        <x:v>Ja</x:v>
      </x:c>
      <x:c r="D139" t="str">
        <x:v>Onzeker</x:v>
      </x:c>
      <x:c r="E139" t="n">
        <x:v>65</x:v>
      </x:c>
      <x:c r="F139" t="n">
        <x:v>27</x:v>
      </x:c>
      <x:c r="G139" t="n">
        <x:v>60</x:v>
      </x:c>
      <x:c r="H139" t="n">
        <x:v>2</x:v>
      </x:c>
      <x:c r="I139" t="n">
        <x:f>IF(D139="","",IFERROR(VLOOKUP(D139,'Instellingen'!$D$5:$E$13,2,FALSE),""))</x:f>
        <x:v>20</x:v>
      </x:c>
      <x:c r="J139" t="n">
        <x:f>IF(C139="","",IF(C139="Ja",100,0))</x:f>
        <x:v>100</x:v>
      </x:c>
      <x:c r="K139" t="n">
        <x:f>IF(D139="","",SUM(I139*'Instellingen'!$B$5,J139*'Instellingen'!$B$6,IFERROR(E139/MAX($E$6:$E$167)*100,0)*'Instellingen'!$B$7,IFERROR(F139/MAX($F$6:$F$167)*100,0)*'Instellingen'!$B$8,IFERROR(G139/MAX($G$6:$G$167)*100,0)*'Instellingen'!$B$9,IFERROR(H139/MAX($H$6:$H$167)*100,0)*'Instellingen'!$B$10)/SUM('Instellingen'!$B$5:$B$10))</x:f>
        <x:v>13.39636187490668</x:v>
      </x:c>
      <x:c r="L139" t="n">
        <x:f>IF(K139="","",ROUND(('Instellingen'!$B$16+('Instellingen'!$B$17-'Instellingen'!$B$16)*POWER(K139/100,'Instellingen'!$B$18))/'Instellingen'!$B$19,0)*'Instellingen'!$B$19)</x:f>
        <x:v>446</x:v>
      </x:c>
      <x:c r="M139"/>
      <x:c r="N139" t="n">
        <x:f>IF(L139="","",MAX('Instellingen'!$B$16,MIN('Instellingen'!$B$17,L139+IF(M139="",0,M139))))</x:f>
        <x:v>446</x:v>
      </x:c>
      <x:c r="O139" t="str">
        <x:f>IF(N139="","",IF(N139&gt;='Instellingen'!$B$22,"Absolute top",IF(N139&gt;='Instellingen'!$B$23,"Kopman",IF(N139&gt;='Instellingen'!$B$24,"Sterke keuze",IF(N139&gt;='Instellingen'!$B$25,"Bruikbaar","Gok")))))</x:f>
        <x:v>Gok</x:v>
      </x:c>
      <x:c r="P139" t="str">
        <x:f>IF(A139="","",IF(D139="","Rol invullen","Compleet"))</x:f>
        <x:v>Compleet</x:v>
      </x:c>
      <x:c r="Q139" t="str">
        <x:v>https://www.procyclingstats.com/rider/juan-felipe-rodriguez</x:v>
      </x:c>
    </x:row>
    <x:row r="140">
      <x:c r="A140" t="str">
        <x:v>LE GAC Olivier</x:v>
      </x:c>
      <x:c r="B140" t="str">
        <x:v>Groupama - FDJ United</x:v>
      </x:c>
      <x:c r="C140" t="str">
        <x:v>Nee</x:v>
      </x:c>
      <x:c r="D140" t="str">
        <x:v>Meesterknecht</x:v>
      </x:c>
      <x:c r="E140" t="n">
        <x:v>415</x:v>
      </x:c>
      <x:c r="F140" t="n">
        <x:v>828</x:v>
      </x:c>
      <x:c r="G140" t="n">
        <x:v>88</x:v>
      </x:c>
      <x:c r="H140" t="n">
        <x:v>4</x:v>
      </x:c>
      <x:c r="I140" t="n">
        <x:f>IF(D140="","",IFERROR(VLOOKUP(D140,'Instellingen'!$D$5:$E$13,2,FALSE),""))</x:f>
        <x:v>55</x:v>
      </x:c>
      <x:c r="J140" t="n">
        <x:f>IF(C140="","",IF(C140="Ja",100,0))</x:f>
        <x:v>0</x:v>
      </x:c>
      <x:c r="K140" t="n">
        <x:f>IF(D140="","",SUM(I140*'Instellingen'!$B$5,J140*'Instellingen'!$B$6,IFERROR(E140/MAX($E$6:$E$167)*100,0)*'Instellingen'!$B$7,IFERROR(F140/MAX($F$6:$F$167)*100,0)*'Instellingen'!$B$8,IFERROR(G140/MAX($G$6:$G$167)*100,0)*'Instellingen'!$B$9,IFERROR(H140/MAX($H$6:$H$167)*100,0)*'Instellingen'!$B$10)/SUM('Instellingen'!$B$5:$B$10))</x:f>
        <x:v>11.520125575320582</x:v>
      </x:c>
      <x:c r="L140" t="n">
        <x:f>IF(K140="","",ROUND(('Instellingen'!$B$16+('Instellingen'!$B$17-'Instellingen'!$B$16)*POWER(K140/100,'Instellingen'!$B$18))/'Instellingen'!$B$19,0)*'Instellingen'!$B$19)</x:f>
        <x:v>419</x:v>
      </x:c>
      <x:c r="M140"/>
      <x:c r="N140" t="n">
        <x:f>IF(L140="","",MAX('Instellingen'!$B$16,MIN('Instellingen'!$B$17,L140+IF(M140="",0,M140))))</x:f>
        <x:v>419</x:v>
      </x:c>
      <x:c r="O140" t="str">
        <x:f>IF(N140="","",IF(N140&gt;='Instellingen'!$B$22,"Absolute top",IF(N140&gt;='Instellingen'!$B$23,"Kopman",IF(N140&gt;='Instellingen'!$B$24,"Sterke keuze",IF(N140&gt;='Instellingen'!$B$25,"Bruikbaar","Gok")))))</x:f>
        <x:v>Gok</x:v>
      </x:c>
      <x:c r="P140" t="str">
        <x:f>IF(A140="","",IF(D140="","Rol invullen","Compleet"))</x:f>
        <x:v>Compleet</x:v>
      </x:c>
      <x:c r="Q140" t="str">
        <x:v>https://www.procyclingstats.com/rider/olivier-le-gac</x:v>
      </x:c>
    </x:row>
    <x:row r="141">
      <x:c r="A141" t="str">
        <x:v>TRONCHON Bastien</x:v>
      </x:c>
      <x:c r="B141" t="str">
        <x:v>Groupama - FDJ United</x:v>
      </x:c>
      <x:c r="C141" t="str">
        <x:v>Ja</x:v>
      </x:c>
      <x:c r="D141" t="str">
        <x:v>Lead-out</x:v>
      </x:c>
      <x:c r="E141" t="n">
        <x:v>296</x:v>
      </x:c>
      <x:c r="F141" t="n">
        <x:v>580</x:v>
      </x:c>
      <x:c r="G141" t="n">
        <x:v>173</x:v>
      </x:c>
      <x:c r="H141" t="n">
        <x:v>14</x:v>
      </x:c>
      <x:c r="I141" t="n">
        <x:f>IF(D141="","",IFERROR(VLOOKUP(D141,'Instellingen'!$D$5:$E$13,2,FALSE),""))</x:f>
        <x:v>45</x:v>
      </x:c>
      <x:c r="J141" t="n">
        <x:f>IF(C141="","",IF(C141="Ja",100,0))</x:f>
        <x:v>100</x:v>
      </x:c>
      <x:c r="K141" t="n">
        <x:f>IF(D141="","",SUM(I141*'Instellingen'!$B$5,J141*'Instellingen'!$B$6,IFERROR(E141/MAX($E$6:$E$167)*100,0)*'Instellingen'!$B$7,IFERROR(F141/MAX($F$6:$F$167)*100,0)*'Instellingen'!$B$8,IFERROR(G141/MAX($G$6:$G$167)*100,0)*'Instellingen'!$B$9,IFERROR(H141/MAX($H$6:$H$167)*100,0)*'Instellingen'!$B$10)/SUM('Instellingen'!$B$5:$B$10))</x:f>
        <x:v>19.224533438684283</x:v>
      </x:c>
      <x:c r="L141" t="n">
        <x:f>IF(K141="","",ROUND(('Instellingen'!$B$16+('Instellingen'!$B$17-'Instellingen'!$B$16)*POWER(K141/100,'Instellingen'!$B$18))/'Instellingen'!$B$19,0)*'Instellingen'!$B$19)</x:f>
        <x:v>537</x:v>
      </x:c>
      <x:c r="M141"/>
      <x:c r="N141" t="n">
        <x:f>IF(L141="","",MAX('Instellingen'!$B$16,MIN('Instellingen'!$B$17,L141+IF(M141="",0,M141))))</x:f>
        <x:v>537</x:v>
      </x:c>
      <x:c r="O141" t="str">
        <x:f>IF(N141="","",IF(N141&gt;='Instellingen'!$B$22,"Absolute top",IF(N141&gt;='Instellingen'!$B$23,"Kopman",IF(N141&gt;='Instellingen'!$B$24,"Sterke keuze",IF(N141&gt;='Instellingen'!$B$25,"Bruikbaar","Gok")))))</x:f>
        <x:v>Gok</x:v>
      </x:c>
      <x:c r="P141" t="str">
        <x:f>IF(A141="","",IF(D141="","Rol invullen","Compleet"))</x:f>
        <x:v>Compleet</x:v>
      </x:c>
      <x:c r="Q141" t="str">
        <x:v>https://www.procyclingstats.com/rider/bastien-tronchon</x:v>
      </x:c>
    </x:row>
    <x:row r="142">
      <x:c r="A142" t="str">
        <x:v>PALENI Enzo</x:v>
      </x:c>
      <x:c r="B142" t="str">
        <x:v>Groupama - FDJ United</x:v>
      </x:c>
      <x:c r="C142" t="str">
        <x:v>Ja</x:v>
      </x:c>
      <x:c r="D142" t="str">
        <x:v>Knecht</x:v>
      </x:c>
      <x:c r="E142" t="n">
        <x:v>178</x:v>
      </x:c>
      <x:c r="F142" t="n">
        <x:v>83</x:v>
      </x:c>
      <x:c r="G142" t="n">
        <x:v>46</x:v>
      </x:c>
      <x:c r="H142" t="n">
        <x:v>163</x:v>
      </x:c>
      <x:c r="I142" t="n">
        <x:f>IF(D142="","",IFERROR(VLOOKUP(D142,'Instellingen'!$D$5:$E$13,2,FALSE),""))</x:f>
        <x:v>30</x:v>
      </x:c>
      <x:c r="J142" t="n">
        <x:f>IF(C142="","",IF(C142="Ja",100,0))</x:f>
        <x:v>100</x:v>
      </x:c>
      <x:c r="K142" t="n">
        <x:f>IF(D142="","",SUM(I142*'Instellingen'!$B$5,J142*'Instellingen'!$B$6,IFERROR(E142/MAX($E$6:$E$167)*100,0)*'Instellingen'!$B$7,IFERROR(F142/MAX($F$6:$F$167)*100,0)*'Instellingen'!$B$8,IFERROR(G142/MAX($G$6:$G$167)*100,0)*'Instellingen'!$B$9,IFERROR(H142/MAX($H$6:$H$167)*100,0)*'Instellingen'!$B$10)/SUM('Instellingen'!$B$5:$B$10))</x:f>
        <x:v>15.562003853451385</x:v>
      </x:c>
      <x:c r="L142" t="n">
        <x:f>IF(K142="","",ROUND(('Instellingen'!$B$16+('Instellingen'!$B$17-'Instellingen'!$B$16)*POWER(K142/100,'Instellingen'!$B$18))/'Instellingen'!$B$19,0)*'Instellingen'!$B$19)</x:f>
        <x:v>479</x:v>
      </x:c>
      <x:c r="M142"/>
      <x:c r="N142" t="n">
        <x:f>IF(L142="","",MAX('Instellingen'!$B$16,MIN('Instellingen'!$B$17,L142+IF(M142="",0,M142))))</x:f>
        <x:v>479</x:v>
      </x:c>
      <x:c r="O142" t="str">
        <x:f>IF(N142="","",IF(N142&gt;='Instellingen'!$B$22,"Absolute top",IF(N142&gt;='Instellingen'!$B$23,"Kopman",IF(N142&gt;='Instellingen'!$B$24,"Sterke keuze",IF(N142&gt;='Instellingen'!$B$25,"Bruikbaar","Gok")))))</x:f>
        <x:v>Gok</x:v>
      </x:c>
      <x:c r="P142" t="str">
        <x:f>IF(A142="","",IF(D142="","Rol invullen","Compleet"))</x:f>
        <x:v>Compleet</x:v>
      </x:c>
      <x:c r="Q142" t="str">
        <x:v>https://www.procyclingstats.com/rider/enzo-paleni</x:v>
      </x:c>
    </x:row>
    <x:row r="143">
      <x:c r="A143" t="str">
        <x:v>MADOUAS Valentin</x:v>
      </x:c>
      <x:c r="B143" t="str">
        <x:v>Groupama - FDJ United</x:v>
      </x:c>
      <x:c r="C143" t="str">
        <x:v>Nee</x:v>
      </x:c>
      <x:c r="D143" t="str">
        <x:v>Kopman punten</x:v>
      </x:c>
      <x:c r="E143" t="n">
        <x:v>1386</x:v>
      </x:c>
      <x:c r="F143" t="n">
        <x:v>3602</x:v>
      </x:c>
      <x:c r="G143" t="n">
        <x:v>1676</x:v>
      </x:c>
      <x:c r="H143" t="n">
        <x:v>93</x:v>
      </x:c>
      <x:c r="I143" t="n">
        <x:f>IF(D143="","",IFERROR(VLOOKUP(D143,'Instellingen'!$D$5:$E$13,2,FALSE),""))</x:f>
        <x:v>90</x:v>
      </x:c>
      <x:c r="J143" t="n">
        <x:f>IF(C143="","",IF(C143="Ja",100,0))</x:f>
        <x:v>0</x:v>
      </x:c>
      <x:c r="K143" t="n">
        <x:f>IF(D143="","",SUM(I143*'Instellingen'!$B$5,J143*'Instellingen'!$B$6,IFERROR(E143/MAX($E$6:$E$167)*100,0)*'Instellingen'!$B$7,IFERROR(F143/MAX($F$6:$F$167)*100,0)*'Instellingen'!$B$8,IFERROR(G143/MAX($G$6:$G$167)*100,0)*'Instellingen'!$B$9,IFERROR(H143/MAX($H$6:$H$167)*100,0)*'Instellingen'!$B$10)/SUM('Instellingen'!$B$5:$B$10))</x:f>
        <x:v>27.860705807622523</x:v>
      </x:c>
      <x:c r="L143" t="n">
        <x:f>IF(K143="","",ROUND(('Instellingen'!$B$16+('Instellingen'!$B$17-'Instellingen'!$B$16)*POWER(K143/100,'Instellingen'!$B$18))/'Instellingen'!$B$19,0)*'Instellingen'!$B$19)</x:f>
        <x:v>692</x:v>
      </x:c>
      <x:c r="M143"/>
      <x:c r="N143" t="n">
        <x:f>IF(L143="","",MAX('Instellingen'!$B$16,MIN('Instellingen'!$B$17,L143+IF(M143="",0,M143))))</x:f>
        <x:v>692</x:v>
      </x:c>
      <x:c r="O143" t="str">
        <x:f>IF(N143="","",IF(N143&gt;='Instellingen'!$B$22,"Absolute top",IF(N143&gt;='Instellingen'!$B$23,"Kopman",IF(N143&gt;='Instellingen'!$B$24,"Sterke keuze",IF(N143&gt;='Instellingen'!$B$25,"Bruikbaar","Gok")))))</x:f>
        <x:v>Gok</x:v>
      </x:c>
      <x:c r="P143" t="str">
        <x:f>IF(A143="","",IF(D143="","Rol invullen","Compleet"))</x:f>
        <x:v>Compleet</x:v>
      </x:c>
      <x:c r="Q143" t="str">
        <x:v>https://www.procyclingstats.com/rider/valentin-madouas</x:v>
      </x:c>
    </x:row>
    <x:row r="144">
      <x:c r="A144" t="str">
        <x:v>ROCHAS Rémy</x:v>
      </x:c>
      <x:c r="B144" t="str">
        <x:v>Groupama - FDJ United</x:v>
      </x:c>
      <x:c r="C144" t="str">
        <x:v>Nee</x:v>
      </x:c>
      <x:c r="D144" t="str">
        <x:v>Meesterknecht</x:v>
      </x:c>
      <x:c r="E144" t="n">
        <x:v>812</x:v>
      </x:c>
      <x:c r="F144" t="n">
        <x:v>286</x:v>
      </x:c>
      <x:c r="G144" t="n">
        <x:v>556</x:v>
      </x:c>
      <x:c r="H144" t="n">
        <x:v>88</x:v>
      </x:c>
      <x:c r="I144" t="n">
        <x:f>IF(D144="","",IFERROR(VLOOKUP(D144,'Instellingen'!$D$5:$E$13,2,FALSE),""))</x:f>
        <x:v>55</x:v>
      </x:c>
      <x:c r="J144" t="n">
        <x:f>IF(C144="","",IF(C144="Ja",100,0))</x:f>
        <x:v>0</x:v>
      </x:c>
      <x:c r="K144" t="n">
        <x:f>IF(D144="","",SUM(I144*'Instellingen'!$B$5,J144*'Instellingen'!$B$6,IFERROR(E144/MAX($E$6:$E$167)*100,0)*'Instellingen'!$B$7,IFERROR(F144/MAX($F$6:$F$167)*100,0)*'Instellingen'!$B$8,IFERROR(G144/MAX($G$6:$G$167)*100,0)*'Instellingen'!$B$9,IFERROR(H144/MAX($H$6:$H$167)*100,0)*'Instellingen'!$B$10)/SUM('Instellingen'!$B$5:$B$10))</x:f>
        <x:v>12.893974318775964</x:v>
      </x:c>
      <x:c r="L144" t="n">
        <x:f>IF(K144="","",ROUND(('Instellingen'!$B$16+('Instellingen'!$B$17-'Instellingen'!$B$16)*POWER(K144/100,'Instellingen'!$B$18))/'Instellingen'!$B$19,0)*'Instellingen'!$B$19)</x:f>
        <x:v>438</x:v>
      </x:c>
      <x:c r="M144"/>
      <x:c r="N144" t="n">
        <x:f>IF(L144="","",MAX('Instellingen'!$B$16,MIN('Instellingen'!$B$17,L144+IF(M144="",0,M144))))</x:f>
        <x:v>438</x:v>
      </x:c>
      <x:c r="O144" t="str">
        <x:f>IF(N144="","",IF(N144&gt;='Instellingen'!$B$22,"Absolute top",IF(N144&gt;='Instellingen'!$B$23,"Kopman",IF(N144&gt;='Instellingen'!$B$24,"Sterke keuze",IF(N144&gt;='Instellingen'!$B$25,"Bruikbaar","Gok")))))</x:f>
        <x:v>Gok</x:v>
      </x:c>
      <x:c r="P144" t="str">
        <x:f>IF(A144="","",IF(D144="","Rol invullen","Compleet"))</x:f>
        <x:v>Compleet</x:v>
      </x:c>
      <x:c r="Q144" t="str">
        <x:v>https://www.procyclingstats.com/rider/remy-rochas</x:v>
      </x:c>
    </x:row>
    <x:row r="145">
      <x:c r="A145" t="str">
        <x:v>BERNARD Julien</x:v>
      </x:c>
      <x:c r="B145" t="str">
        <x:v>Lidl - Trek</x:v>
      </x:c>
      <x:c r="C145" t="str">
        <x:v>Nee</x:v>
      </x:c>
      <x:c r="D145" t="str">
        <x:v>Meesterknecht</x:v>
      </x:c>
      <x:c r="E145" t="n">
        <x:v>822</x:v>
      </x:c>
      <x:c r="F145" t="n">
        <x:v>339</x:v>
      </x:c>
      <x:c r="G145" t="n">
        <x:v>432</x:v>
      </x:c>
      <x:c r="H145" t="n">
        <x:v>43</x:v>
      </x:c>
      <x:c r="I145" t="n">
        <x:f>IF(D145="","",IFERROR(VLOOKUP(D145,'Instellingen'!$D$5:$E$13,2,FALSE),""))</x:f>
        <x:v>55</x:v>
      </x:c>
      <x:c r="J145" t="n">
        <x:f>IF(C145="","",IF(C145="Ja",100,0))</x:f>
        <x:v>0</x:v>
      </x:c>
      <x:c r="K145" t="n">
        <x:f>IF(D145="","",SUM(I145*'Instellingen'!$B$5,J145*'Instellingen'!$B$6,IFERROR(E145/MAX($E$6:$E$167)*100,0)*'Instellingen'!$B$7,IFERROR(F145/MAX($F$6:$F$167)*100,0)*'Instellingen'!$B$8,IFERROR(G145/MAX($G$6:$G$167)*100,0)*'Instellingen'!$B$9,IFERROR(H145/MAX($H$6:$H$167)*100,0)*'Instellingen'!$B$10)/SUM('Instellingen'!$B$5:$B$10))</x:f>
        <x:v>12.821632576179761</x:v>
      </x:c>
      <x:c r="L145" t="n">
        <x:f>IF(K145="","",ROUND(('Instellingen'!$B$16+('Instellingen'!$B$17-'Instellingen'!$B$16)*POWER(K145/100,'Instellingen'!$B$18))/'Instellingen'!$B$19,0)*'Instellingen'!$B$19)</x:f>
        <x:v>437</x:v>
      </x:c>
      <x:c r="M145"/>
      <x:c r="N145" t="n">
        <x:f>IF(L145="","",MAX('Instellingen'!$B$16,MIN('Instellingen'!$B$17,L145+IF(M145="",0,M145))))</x:f>
        <x:v>437</x:v>
      </x:c>
      <x:c r="O145" t="str">
        <x:f>IF(N145="","",IF(N145&gt;='Instellingen'!$B$22,"Absolute top",IF(N145&gt;='Instellingen'!$B$23,"Kopman",IF(N145&gt;='Instellingen'!$B$24,"Sterke keuze",IF(N145&gt;='Instellingen'!$B$25,"Bruikbaar","Gok")))))</x:f>
        <x:v>Gok</x:v>
      </x:c>
      <x:c r="P145" t="str">
        <x:f>IF(A145="","",IF(D145="","Rol invullen","Compleet"))</x:f>
        <x:v>Compleet</x:v>
      </x:c>
      <x:c r="Q145" t="str">
        <x:v>https://www.procyclingstats.com/rider/julien-bernard</x:v>
      </x:c>
    </x:row>
    <x:row r="146">
      <x:c r="A146" t="str">
        <x:v>KÄMNA Lennard</x:v>
      </x:c>
      <x:c r="B146" t="str">
        <x:v>Lidl - Trek</x:v>
      </x:c>
      <x:c r="C146" t="str">
        <x:v>Nee</x:v>
      </x:c>
      <x:c r="D146" t="str">
        <x:v>Vrijbuiter</x:v>
      </x:c>
      <x:c r="E146" t="n">
        <x:v>1182</x:v>
      </x:c>
      <x:c r="F146" t="n">
        <x:v>295</x:v>
      </x:c>
      <x:c r="G146" t="n">
        <x:v>1870</x:v>
      </x:c>
      <x:c r="H146" t="n">
        <x:v>848</x:v>
      </x:c>
      <x:c r="I146" t="n">
        <x:f>IF(D146="","",IFERROR(VLOOKUP(D146,'Instellingen'!$D$5:$E$13,2,FALSE),""))</x:f>
        <x:v>65</x:v>
      </x:c>
      <x:c r="J146" t="n">
        <x:f>IF(C146="","",IF(C146="Ja",100,0))</x:f>
        <x:v>0</x:v>
      </x:c>
      <x:c r="K146" t="n">
        <x:f>IF(D146="","",SUM(I146*'Instellingen'!$B$5,J146*'Instellingen'!$B$6,IFERROR(E146/MAX($E$6:$E$167)*100,0)*'Instellingen'!$B$7,IFERROR(F146/MAX($F$6:$F$167)*100,0)*'Instellingen'!$B$8,IFERROR(G146/MAX($G$6:$G$167)*100,0)*'Instellingen'!$B$9,IFERROR(H146/MAX($H$6:$H$167)*100,0)*'Instellingen'!$B$10)/SUM('Instellingen'!$B$5:$B$10))</x:f>
        <x:v>18.32413736128175</x:v>
      </x:c>
      <x:c r="L146" t="n">
        <x:f>IF(K146="","",ROUND(('Instellingen'!$B$16+('Instellingen'!$B$17-'Instellingen'!$B$16)*POWER(K146/100,'Instellingen'!$B$18))/'Instellingen'!$B$19,0)*'Instellingen'!$B$19)</x:f>
        <x:v>523</x:v>
      </x:c>
      <x:c r="M146"/>
      <x:c r="N146" t="n">
        <x:f>IF(L146="","",MAX('Instellingen'!$B$16,MIN('Instellingen'!$B$17,L146+IF(M146="",0,M146))))</x:f>
        <x:v>523</x:v>
      </x:c>
      <x:c r="O146" t="str">
        <x:f>IF(N146="","",IF(N146&gt;='Instellingen'!$B$22,"Absolute top",IF(N146&gt;='Instellingen'!$B$23,"Kopman",IF(N146&gt;='Instellingen'!$B$24,"Sterke keuze",IF(N146&gt;='Instellingen'!$B$25,"Bruikbaar","Gok")))))</x:f>
        <x:v>Gok</x:v>
      </x:c>
      <x:c r="P146" t="str">
        <x:f>IF(A146="","",IF(D146="","Rol invullen","Compleet"))</x:f>
        <x:v>Compleet</x:v>
      </x:c>
      <x:c r="Q146" t="str">
        <x:v>https://www.procyclingstats.com/rider/lennard-kamna</x:v>
      </x:c>
    </x:row>
    <x:row r="147">
      <x:c r="A147" t="str">
        <x:v>KONRAD Patrick</x:v>
      </x:c>
      <x:c r="B147" t="str">
        <x:v>Lidl - Trek</x:v>
      </x:c>
      <x:c r="C147" t="str">
        <x:v>Nee</x:v>
      </x:c>
      <x:c r="D147" t="str">
        <x:v>Kopman AK</x:v>
      </x:c>
      <x:c r="E147" t="n">
        <x:v>2685</x:v>
      </x:c>
      <x:c r="F147" t="n">
        <x:v>1649</x:v>
      </x:c>
      <x:c r="G147" t="n">
        <x:v>2710</x:v>
      </x:c>
      <x:c r="H147" t="n">
        <x:v>458</x:v>
      </x:c>
      <x:c r="I147" t="n">
        <x:f>IF(D147="","",IFERROR(VLOOKUP(D147,'Instellingen'!$D$5:$E$13,2,FALSE),""))</x:f>
        <x:v>100</x:v>
      </x:c>
      <x:c r="J147" t="n">
        <x:f>IF(C147="","",IF(C147="Ja",100,0))</x:f>
        <x:v>0</x:v>
      </x:c>
      <x:c r="K147" t="n">
        <x:f>IF(D147="","",SUM(I147*'Instellingen'!$B$5,J147*'Instellingen'!$B$6,IFERROR(E147/MAX($E$6:$E$167)*100,0)*'Instellingen'!$B$7,IFERROR(F147/MAX($F$6:$F$167)*100,0)*'Instellingen'!$B$8,IFERROR(G147/MAX($G$6:$G$167)*100,0)*'Instellingen'!$B$9,IFERROR(H147/MAX($H$6:$H$167)*100,0)*'Instellingen'!$B$10)/SUM('Instellingen'!$B$5:$B$10))</x:f>
        <x:v>32.92547806625673</x:v>
      </x:c>
      <x:c r="L147" t="n">
        <x:f>IF(K147="","",ROUND(('Instellingen'!$B$16+('Instellingen'!$B$17-'Instellingen'!$B$16)*POWER(K147/100,'Instellingen'!$B$18))/'Instellingen'!$B$19,0)*'Instellingen'!$B$19)</x:f>
        <x:v>791</x:v>
      </x:c>
      <x:c r="M147"/>
      <x:c r="N147" t="n">
        <x:f>IF(L147="","",MAX('Instellingen'!$B$16,MIN('Instellingen'!$B$17,L147+IF(M147="",0,M147))))</x:f>
        <x:v>791</x:v>
      </x:c>
      <x:c r="O147" t="str">
        <x:f>IF(N147="","",IF(N147&gt;='Instellingen'!$B$22,"Absolute top",IF(N147&gt;='Instellingen'!$B$23,"Kopman",IF(N147&gt;='Instellingen'!$B$24,"Sterke keuze",IF(N147&gt;='Instellingen'!$B$25,"Bruikbaar","Gok")))))</x:f>
        <x:v>Bruikbaar</x:v>
      </x:c>
      <x:c r="P147" t="str">
        <x:f>IF(A147="","",IF(D147="","Rol invullen","Compleet"))</x:f>
        <x:v>Compleet</x:v>
      </x:c>
      <x:c r="Q147" t="str">
        <x:v>https://www.procyclingstats.com/rider/patrick-konrad</x:v>
      </x:c>
    </x:row>
    <x:row r="148">
      <x:c r="A148" t="str">
        <x:v>MOSCA Jacopo</x:v>
      </x:c>
      <x:c r="B148" t="str">
        <x:v>Lidl - Trek</x:v>
      </x:c>
      <x:c r="C148" t="str">
        <x:v>Nee</x:v>
      </x:c>
      <x:c r="D148" t="str">
        <x:v>Knecht</x:v>
      </x:c>
      <x:c r="E148" t="n">
        <x:v>609</x:v>
      </x:c>
      <x:c r="F148" t="n">
        <x:v>509</x:v>
      </x:c>
      <x:c r="G148" t="n">
        <x:v>247</x:v>
      </x:c>
      <x:c r="H148" t="n">
        <x:v>75</x:v>
      </x:c>
      <x:c r="I148" t="n">
        <x:f>IF(D148="","",IFERROR(VLOOKUP(D148,'Instellingen'!$D$5:$E$13,2,FALSE),""))</x:f>
        <x:v>30</x:v>
      </x:c>
      <x:c r="J148" t="n">
        <x:f>IF(C148="","",IF(C148="Ja",100,0))</x:f>
        <x:v>0</x:v>
      </x:c>
      <x:c r="K148" t="n">
        <x:f>IF(D148="","",SUM(I148*'Instellingen'!$B$5,J148*'Instellingen'!$B$6,IFERROR(E148/MAX($E$6:$E$167)*100,0)*'Instellingen'!$B$7,IFERROR(F148/MAX($F$6:$F$167)*100,0)*'Instellingen'!$B$8,IFERROR(G148/MAX($G$6:$G$167)*100,0)*'Instellingen'!$B$9,IFERROR(H148/MAX($H$6:$H$167)*100,0)*'Instellingen'!$B$10)/SUM('Instellingen'!$B$5:$B$10))</x:f>
        <x:v>8.27370196396307</x:v>
      </x:c>
      <x:c r="L148" t="n">
        <x:f>IF(K148="","",ROUND(('Instellingen'!$B$16+('Instellingen'!$B$17-'Instellingen'!$B$16)*POWER(K148/100,'Instellingen'!$B$18))/'Instellingen'!$B$19,0)*'Instellingen'!$B$19)</x:f>
        <x:v>376</x:v>
      </x:c>
      <x:c r="M148"/>
      <x:c r="N148" t="n">
        <x:f>IF(L148="","",MAX('Instellingen'!$B$16,MIN('Instellingen'!$B$17,L148+IF(M148="",0,M148))))</x:f>
        <x:v>376</x:v>
      </x:c>
      <x:c r="O148" t="str">
        <x:f>IF(N148="","",IF(N148&gt;='Instellingen'!$B$22,"Absolute top",IF(N148&gt;='Instellingen'!$B$23,"Kopman",IF(N148&gt;='Instellingen'!$B$24,"Sterke keuze",IF(N148&gt;='Instellingen'!$B$25,"Bruikbaar","Gok")))))</x:f>
        <x:v>Gok</x:v>
      </x:c>
      <x:c r="P148" t="str">
        <x:f>IF(A148="","",IF(D148="","Rol invullen","Compleet"))</x:f>
        <x:v>Compleet</x:v>
      </x:c>
      <x:c r="Q148" t="str">
        <x:v>https://www.procyclingstats.com/rider/jacopo-mosca</x:v>
      </x:c>
    </x:row>
    <x:row r="149">
      <x:c r="A149" t="str">
        <x:v>AULAR Orluis</x:v>
      </x:c>
      <x:c r="B149" t="str">
        <x:v>Movistar Team</x:v>
      </x:c>
      <x:c r="C149" t="str">
        <x:v>Nee</x:v>
      </x:c>
      <x:c r="D149" t="str">
        <x:v>Sprinter</x:v>
      </x:c>
      <x:c r="E149" t="n">
        <x:v>499</x:v>
      </x:c>
      <x:c r="F149" t="n">
        <x:v>1810</x:v>
      </x:c>
      <x:c r="G149" t="n">
        <x:v>351</x:v>
      </x:c>
      <x:c r="H149" t="n">
        <x:v>633</x:v>
      </x:c>
      <x:c r="I149" t="n">
        <x:f>IF(D149="","",IFERROR(VLOOKUP(D149,'Instellingen'!$D$5:$E$13,2,FALSE),""))</x:f>
        <x:v>80</x:v>
      </x:c>
      <x:c r="J149" t="n">
        <x:f>IF(C149="","",IF(C149="Ja",100,0))</x:f>
        <x:v>0</x:v>
      </x:c>
      <x:c r="K149" t="n">
        <x:f>IF(D149="","",SUM(I149*'Instellingen'!$B$5,J149*'Instellingen'!$B$6,IFERROR(E149/MAX($E$6:$E$167)*100,0)*'Instellingen'!$B$7,IFERROR(F149/MAX($F$6:$F$167)*100,0)*'Instellingen'!$B$8,IFERROR(G149/MAX($G$6:$G$167)*100,0)*'Instellingen'!$B$9,IFERROR(H149/MAX($H$6:$H$167)*100,0)*'Instellingen'!$B$10)/SUM('Instellingen'!$B$5:$B$10))</x:f>
        <x:v>18.19582239491648</x:v>
      </x:c>
      <x:c r="L149" t="n">
        <x:f>IF(K149="","",ROUND(('Instellingen'!$B$16+('Instellingen'!$B$17-'Instellingen'!$B$16)*POWER(K149/100,'Instellingen'!$B$18))/'Instellingen'!$B$19,0)*'Instellingen'!$B$19)</x:f>
        <x:v>520</x:v>
      </x:c>
      <x:c r="M149"/>
      <x:c r="N149" t="n">
        <x:f>IF(L149="","",MAX('Instellingen'!$B$16,MIN('Instellingen'!$B$17,L149+IF(M149="",0,M149))))</x:f>
        <x:v>520</x:v>
      </x:c>
      <x:c r="O149" t="str">
        <x:f>IF(N149="","",IF(N149&gt;='Instellingen'!$B$22,"Absolute top",IF(N149&gt;='Instellingen'!$B$23,"Kopman",IF(N149&gt;='Instellingen'!$B$24,"Sterke keuze",IF(N149&gt;='Instellingen'!$B$25,"Bruikbaar","Gok")))))</x:f>
        <x:v>Gok</x:v>
      </x:c>
      <x:c r="P149" t="str">
        <x:f>IF(A149="","",IF(D149="","Rol invullen","Compleet"))</x:f>
        <x:v>Compleet</x:v>
      </x:c>
      <x:c r="Q149" t="str">
        <x:v>https://www.procyclingstats.com/rider/orluis-aular</x:v>
      </x:c>
    </x:row>
    <x:row r="150">
      <x:c r="A150" t="str">
        <x:v>CANAL Carlos</x:v>
      </x:c>
      <x:c r="B150" t="str">
        <x:v>Movistar Team</x:v>
      </x:c>
      <x:c r="C150" t="str">
        <x:v>Ja</x:v>
      </x:c>
      <x:c r="D150" t="str">
        <x:v>Meesterknecht</x:v>
      </x:c>
      <x:c r="E150" t="n">
        <x:v>570</x:v>
      </x:c>
      <x:c r="F150" t="n">
        <x:v>777</x:v>
      </x:c>
      <x:c r="G150" t="n">
        <x:v>260</x:v>
      </x:c>
      <x:c r="H150" t="n">
        <x:v>115</x:v>
      </x:c>
      <x:c r="I150" t="n">
        <x:f>IF(D150="","",IFERROR(VLOOKUP(D150,'Instellingen'!$D$5:$E$13,2,FALSE),""))</x:f>
        <x:v>55</x:v>
      </x:c>
      <x:c r="J150" t="n">
        <x:f>IF(C150="","",IF(C150="Ja",100,0))</x:f>
        <x:v>100</x:v>
      </x:c>
      <x:c r="K150" t="n">
        <x:f>IF(D150="","",SUM(I150*'Instellingen'!$B$5,J150*'Instellingen'!$B$6,IFERROR(E150/MAX($E$6:$E$167)*100,0)*'Instellingen'!$B$7,IFERROR(F150/MAX($F$6:$F$167)*100,0)*'Instellingen'!$B$8,IFERROR(G150/MAX($G$6:$G$167)*100,0)*'Instellingen'!$B$9,IFERROR(H150/MAX($H$6:$H$167)*100,0)*'Instellingen'!$B$10)/SUM('Instellingen'!$B$5:$B$10))</x:f>
        <x:v>22.385655064977513</x:v>
      </x:c>
      <x:c r="L150" t="n">
        <x:f>IF(K150="","",ROUND(('Instellingen'!$B$16+('Instellingen'!$B$17-'Instellingen'!$B$16)*POWER(K150/100,'Instellingen'!$B$18))/'Instellingen'!$B$19,0)*'Instellingen'!$B$19)</x:f>
        <x:v>592</x:v>
      </x:c>
      <x:c r="M150"/>
      <x:c r="N150" t="n">
        <x:f>IF(L150="","",MAX('Instellingen'!$B$16,MIN('Instellingen'!$B$17,L150+IF(M150="",0,M150))))</x:f>
        <x:v>592</x:v>
      </x:c>
      <x:c r="O150" t="str">
        <x:f>IF(N150="","",IF(N150&gt;='Instellingen'!$B$22,"Absolute top",IF(N150&gt;='Instellingen'!$B$23,"Kopman",IF(N150&gt;='Instellingen'!$B$24,"Sterke keuze",IF(N150&gt;='Instellingen'!$B$25,"Bruikbaar","Gok")))))</x:f>
        <x:v>Gok</x:v>
      </x:c>
      <x:c r="P150" t="str">
        <x:f>IF(A150="","",IF(D150="","Rol invullen","Compleet"))</x:f>
        <x:v>Compleet</x:v>
      </x:c>
      <x:c r="Q150" t="str">
        <x:v>https://www.procyclingstats.com/rider/carlos-canal</x:v>
      </x:c>
    </x:row>
    <x:row r="151">
      <x:c r="A151" t="str">
        <x:v>FISHER-BLACK Finn</x:v>
      </x:c>
      <x:c r="B151" t="str">
        <x:v>Red Bull - BORA - hansgrohe</x:v>
      </x:c>
      <x:c r="C151" t="str">
        <x:v>Ja</x:v>
      </x:c>
      <x:c r="D151" t="str">
        <x:v>Meesterknecht</x:v>
      </x:c>
      <x:c r="E151" t="n">
        <x:v>1013</x:v>
      </x:c>
      <x:c r="F151" t="n">
        <x:v>230</x:v>
      </x:c>
      <x:c r="G151" t="n">
        <x:v>551</x:v>
      </x:c>
      <x:c r="H151" t="n">
        <x:v>773</x:v>
      </x:c>
      <x:c r="I151" t="n">
        <x:f>IF(D151="","",IFERROR(VLOOKUP(D151,'Instellingen'!$D$5:$E$13,2,FALSE),""))</x:f>
        <x:v>55</x:v>
      </x:c>
      <x:c r="J151" t="n">
        <x:f>IF(C151="","",IF(C151="Ja",100,0))</x:f>
        <x:v>100</x:v>
      </x:c>
      <x:c r="K151" t="n">
        <x:f>IF(D151="","",SUM(I151*'Instellingen'!$B$5,J151*'Instellingen'!$B$6,IFERROR(E151/MAX($E$6:$E$167)*100,0)*'Instellingen'!$B$7,IFERROR(F151/MAX($F$6:$F$167)*100,0)*'Instellingen'!$B$8,IFERROR(G151/MAX($G$6:$G$167)*100,0)*'Instellingen'!$B$9,IFERROR(H151/MAX($H$6:$H$167)*100,0)*'Instellingen'!$B$10)/SUM('Instellingen'!$B$5:$B$10))</x:f>
        <x:v>24.144814018684222</x:v>
      </x:c>
      <x:c r="L151" t="n">
        <x:f>IF(K151="","",ROUND(('Instellingen'!$B$16+('Instellingen'!$B$17-'Instellingen'!$B$16)*POWER(K151/100,'Instellingen'!$B$18))/'Instellingen'!$B$19,0)*'Instellingen'!$B$19)</x:f>
        <x:v>623</x:v>
      </x:c>
      <x:c r="M151"/>
      <x:c r="N151" t="n">
        <x:f>IF(L151="","",MAX('Instellingen'!$B$16,MIN('Instellingen'!$B$17,L151+IF(M151="",0,M151))))</x:f>
        <x:v>623</x:v>
      </x:c>
      <x:c r="O151" t="str">
        <x:f>IF(N151="","",IF(N151&gt;='Instellingen'!$B$22,"Absolute top",IF(N151&gt;='Instellingen'!$B$23,"Kopman",IF(N151&gt;='Instellingen'!$B$24,"Sterke keuze",IF(N151&gt;='Instellingen'!$B$25,"Bruikbaar","Gok")))))</x:f>
        <x:v>Gok</x:v>
      </x:c>
      <x:c r="P151" t="str">
        <x:f>IF(A151="","",IF(D151="","Rol invullen","Compleet"))</x:f>
        <x:v>Compleet</x:v>
      </x:c>
      <x:c r="Q151" t="str">
        <x:v>https://www.procyclingstats.com/rider/finn-fisher-black</x:v>
      </x:c>
    </x:row>
    <x:row r="152">
      <x:c r="A152" t="str">
        <x:v>MEEUS Jordi</x:v>
      </x:c>
      <x:c r="B152" t="str">
        <x:v>Red Bull - BORA - hansgrohe</x:v>
      </x:c>
      <x:c r="C152" t="str">
        <x:v>Nee</x:v>
      </x:c>
      <x:c r="D152" t="str">
        <x:v>Kopman punten</x:v>
      </x:c>
      <x:c r="E152" t="n">
        <x:v>121</x:v>
      </x:c>
      <x:c r="F152" t="n">
        <x:v>5111</x:v>
      </x:c>
      <x:c r="G152" t="n">
        <x:v>32</x:v>
      </x:c>
      <x:c r="H152" t="n">
        <x:v>61</x:v>
      </x:c>
      <x:c r="I152" t="n">
        <x:f>IF(D152="","",IFERROR(VLOOKUP(D152,'Instellingen'!$D$5:$E$13,2,FALSE),""))</x:f>
        <x:v>90</x:v>
      </x:c>
      <x:c r="J152" t="n">
        <x:f>IF(C152="","",IF(C152="Ja",100,0))</x:f>
        <x:v>0</x:v>
      </x:c>
      <x:c r="K152" t="n">
        <x:f>IF(D152="","",SUM(I152*'Instellingen'!$B$5,J152*'Instellingen'!$B$6,IFERROR(E152/MAX($E$6:$E$167)*100,0)*'Instellingen'!$B$7,IFERROR(F152/MAX($F$6:$F$167)*100,0)*'Instellingen'!$B$8,IFERROR(G152/MAX($G$6:$G$167)*100,0)*'Instellingen'!$B$9,IFERROR(H152/MAX($H$6:$H$167)*100,0)*'Instellingen'!$B$10)/SUM('Instellingen'!$B$5:$B$10))</x:f>
        <x:v>23.074111504613924</x:v>
      </x:c>
      <x:c r="L152" t="n">
        <x:f>IF(K152="","",ROUND(('Instellingen'!$B$16+('Instellingen'!$B$17-'Instellingen'!$B$16)*POWER(K152/100,'Instellingen'!$B$18))/'Instellingen'!$B$19,0)*'Instellingen'!$B$19)</x:f>
        <x:v>604</x:v>
      </x:c>
      <x:c r="M152"/>
      <x:c r="N152" t="n">
        <x:f>IF(L152="","",MAX('Instellingen'!$B$16,MIN('Instellingen'!$B$17,L152+IF(M152="",0,M152))))</x:f>
        <x:v>604</x:v>
      </x:c>
      <x:c r="O152" t="str">
        <x:f>IF(N152="","",IF(N152&gt;='Instellingen'!$B$22,"Absolute top",IF(N152&gt;='Instellingen'!$B$23,"Kopman",IF(N152&gt;='Instellingen'!$B$24,"Sterke keuze",IF(N152&gt;='Instellingen'!$B$25,"Bruikbaar","Gok")))))</x:f>
        <x:v>Gok</x:v>
      </x:c>
      <x:c r="P152" t="str">
        <x:f>IF(A152="","",IF(D152="","Rol invullen","Compleet"))</x:f>
        <x:v>Compleet</x:v>
      </x:c>
      <x:c r="Q152" t="str">
        <x:v>https://www.procyclingstats.com/rider/jordi-meeus</x:v>
      </x:c>
    </x:row>
    <x:row r="153">
      <x:c r="A153" t="str">
        <x:v>MOSCON Gianni</x:v>
      </x:c>
      <x:c r="B153" t="str">
        <x:v>Red Bull - BORA - hansgrohe</x:v>
      </x:c>
      <x:c r="C153" t="str">
        <x:v>Nee</x:v>
      </x:c>
      <x:c r="D153" t="str">
        <x:v>Sprinter</x:v>
      </x:c>
      <x:c r="E153" t="n">
        <x:v>1012</x:v>
      </x:c>
      <x:c r="F153" t="n">
        <x:v>2168</x:v>
      </x:c>
      <x:c r="G153" t="n">
        <x:v>886</x:v>
      </x:c>
      <x:c r="H153" t="n">
        <x:v>606</x:v>
      </x:c>
      <x:c r="I153" t="n">
        <x:f>IF(D153="","",IFERROR(VLOOKUP(D153,'Instellingen'!$D$5:$E$13,2,FALSE),""))</x:f>
        <x:v>80</x:v>
      </x:c>
      <x:c r="J153" t="n">
        <x:f>IF(C153="","",IF(C153="Ja",100,0))</x:f>
        <x:v>0</x:v>
      </x:c>
      <x:c r="K153" t="n">
        <x:f>IF(D153="","",SUM(I153*'Instellingen'!$B$5,J153*'Instellingen'!$B$6,IFERROR(E153/MAX($E$6:$E$167)*100,0)*'Instellingen'!$B$7,IFERROR(F153/MAX($F$6:$F$167)*100,0)*'Instellingen'!$B$8,IFERROR(G153/MAX($G$6:$G$167)*100,0)*'Instellingen'!$B$9,IFERROR(H153/MAX($H$6:$H$167)*100,0)*'Instellingen'!$B$10)/SUM('Instellingen'!$B$5:$B$10))</x:f>
        <x:v>21.63002065170153</x:v>
      </x:c>
      <x:c r="L153" t="n">
        <x:f>IF(K153="","",ROUND(('Instellingen'!$B$16+('Instellingen'!$B$17-'Instellingen'!$B$16)*POWER(K153/100,'Instellingen'!$B$18))/'Instellingen'!$B$19,0)*'Instellingen'!$B$19)</x:f>
        <x:v>578</x:v>
      </x:c>
      <x:c r="M153"/>
      <x:c r="N153" t="n">
        <x:f>IF(L153="","",MAX('Instellingen'!$B$16,MIN('Instellingen'!$B$17,L153+IF(M153="",0,M153))))</x:f>
        <x:v>578</x:v>
      </x:c>
      <x:c r="O153" t="str">
        <x:f>IF(N153="","",IF(N153&gt;='Instellingen'!$B$22,"Absolute top",IF(N153&gt;='Instellingen'!$B$23,"Kopman",IF(N153&gt;='Instellingen'!$B$24,"Sterke keuze",IF(N153&gt;='Instellingen'!$B$25,"Bruikbaar","Gok")))))</x:f>
        <x:v>Gok</x:v>
      </x:c>
      <x:c r="P153" t="str">
        <x:f>IF(A153="","",IF(D153="","Rol invullen","Compleet"))</x:f>
        <x:v>Compleet</x:v>
      </x:c>
      <x:c r="Q153" t="str">
        <x:v>https://www.procyclingstats.com/rider/gianni-moscon</x:v>
      </x:c>
    </x:row>
    <x:row r="154">
      <x:c r="A154" t="str">
        <x:v>THORNLEY Callum</x:v>
      </x:c>
      <x:c r="B154" t="str">
        <x:v>Red Bull - BORA - hansgrohe</x:v>
      </x:c>
      <x:c r="C154" t="str">
        <x:v>Ja</x:v>
      </x:c>
      <x:c r="D154" t="str">
        <x:v>Knecht</x:v>
      </x:c>
      <x:c r="E154" t="n">
        <x:v>30</x:v>
      </x:c>
      <x:c r="F154" t="n">
        <x:v>104</x:v>
      </x:c>
      <x:c r="G154" t="n">
        <x:v>37</x:v>
      </x:c>
      <x:c r="H154" t="n">
        <x:v>201</x:v>
      </x:c>
      <x:c r="I154" t="n">
        <x:f>IF(D154="","",IFERROR(VLOOKUP(D154,'Instellingen'!$D$5:$E$13,2,FALSE),""))</x:f>
        <x:v>30</x:v>
      </x:c>
      <x:c r="J154" t="n">
        <x:f>IF(C154="","",IF(C154="Ja",100,0))</x:f>
        <x:v>100</x:v>
      </x:c>
      <x:c r="K154" t="n">
        <x:f>IF(D154="","",SUM(I154*'Instellingen'!$B$5,J154*'Instellingen'!$B$6,IFERROR(E154/MAX($E$6:$E$167)*100,0)*'Instellingen'!$B$7,IFERROR(F154/MAX($F$6:$F$167)*100,0)*'Instellingen'!$B$8,IFERROR(G154/MAX($G$6:$G$167)*100,0)*'Instellingen'!$B$9,IFERROR(H154/MAX($H$6:$H$167)*100,0)*'Instellingen'!$B$10)/SUM('Instellingen'!$B$5:$B$10))</x:f>
        <x:v>15.013914478608543</x:v>
      </x:c>
      <x:c r="L154" t="n">
        <x:f>IF(K154="","",ROUND(('Instellingen'!$B$16+('Instellingen'!$B$17-'Instellingen'!$B$16)*POWER(K154/100,'Instellingen'!$B$18))/'Instellingen'!$B$19,0)*'Instellingen'!$B$19)</x:f>
        <x:v>470</x:v>
      </x:c>
      <x:c r="M154"/>
      <x:c r="N154" t="n">
        <x:f>IF(L154="","",MAX('Instellingen'!$B$16,MIN('Instellingen'!$B$17,L154+IF(M154="",0,M154))))</x:f>
        <x:v>470</x:v>
      </x:c>
      <x:c r="O154" t="str">
        <x:f>IF(N154="","",IF(N154&gt;='Instellingen'!$B$22,"Absolute top",IF(N154&gt;='Instellingen'!$B$23,"Kopman",IF(N154&gt;='Instellingen'!$B$24,"Sterke keuze",IF(N154&gt;='Instellingen'!$B$25,"Bruikbaar","Gok")))))</x:f>
        <x:v>Gok</x:v>
      </x:c>
      <x:c r="P154" t="str">
        <x:f>IF(A154="","",IF(D154="","Rol invullen","Compleet"))</x:f>
        <x:v>Compleet</x:v>
      </x:c>
      <x:c r="Q154" t="str">
        <x:v>https://www.procyclingstats.com/rider/callum-thornley</x:v>
      </x:c>
    </x:row>
    <x:row r="155">
      <x:c r="A155" t="str">
        <x:v>WANDAHL Frederik</x:v>
      </x:c>
      <x:c r="B155" t="str">
        <x:v>Red Bull - BORA - hansgrohe</x:v>
      </x:c>
      <x:c r="C155" t="str">
        <x:v>Ja</x:v>
      </x:c>
      <x:c r="D155" t="str">
        <x:v>Lead-out</x:v>
      </x:c>
      <x:c r="E155" t="n">
        <x:v>239</x:v>
      </x:c>
      <x:c r="F155" t="n">
        <x:v>381</x:v>
      </x:c>
      <x:c r="G155" t="n">
        <x:v>206</x:v>
      </x:c>
      <x:c r="H155" t="n">
        <x:v>1</x:v>
      </x:c>
      <x:c r="I155" t="n">
        <x:f>IF(D155="","",IFERROR(VLOOKUP(D155,'Instellingen'!$D$5:$E$13,2,FALSE),""))</x:f>
        <x:v>45</x:v>
      </x:c>
      <x:c r="J155" t="n">
        <x:f>IF(C155="","",IF(C155="Ja",100,0))</x:f>
        <x:v>100</x:v>
      </x:c>
      <x:c r="K155" t="n">
        <x:f>IF(D155="","",SUM(I155*'Instellingen'!$B$5,J155*'Instellingen'!$B$6,IFERROR(E155/MAX($E$6:$E$167)*100,0)*'Instellingen'!$B$7,IFERROR(F155/MAX($F$6:$F$167)*100,0)*'Instellingen'!$B$8,IFERROR(G155/MAX($G$6:$G$167)*100,0)*'Instellingen'!$B$9,IFERROR(H155/MAX($H$6:$H$167)*100,0)*'Instellingen'!$B$10)/SUM('Instellingen'!$B$5:$B$10))</x:f>
        <x:v>18.67776701094364</x:v>
      </x:c>
      <x:c r="L155" t="n">
        <x:f>IF(K155="","",ROUND(('Instellingen'!$B$16+('Instellingen'!$B$17-'Instellingen'!$B$16)*POWER(K155/100,'Instellingen'!$B$18))/'Instellingen'!$B$19,0)*'Instellingen'!$B$19)</x:f>
        <x:v>528</x:v>
      </x:c>
      <x:c r="M155"/>
      <x:c r="N155" t="n">
        <x:f>IF(L155="","",MAX('Instellingen'!$B$16,MIN('Instellingen'!$B$17,L155+IF(M155="",0,M155))))</x:f>
        <x:v>528</x:v>
      </x:c>
      <x:c r="O155" t="str">
        <x:f>IF(N155="","",IF(N155&gt;='Instellingen'!$B$22,"Absolute top",IF(N155&gt;='Instellingen'!$B$23,"Kopman",IF(N155&gt;='Instellingen'!$B$24,"Sterke keuze",IF(N155&gt;='Instellingen'!$B$25,"Bruikbaar","Gok")))))</x:f>
        <x:v>Gok</x:v>
      </x:c>
      <x:c r="P155" t="str">
        <x:f>IF(A155="","",IF(D155="","Rol invullen","Compleet"))</x:f>
        <x:v>Compleet</x:v>
      </x:c>
      <x:c r="Q155" t="str">
        <x:v>https://www.procyclingstats.com/rider/frederik-wandahl</x:v>
      </x:c>
    </x:row>
    <x:row r="156">
      <x:c r="A156" t="str">
        <x:v>ARMIRAIL Bruno</x:v>
      </x:c>
      <x:c r="B156" t="str">
        <x:v>Team Visma | Lease a Bike</x:v>
      </x:c>
      <x:c r="C156" t="str">
        <x:v>Nee</x:v>
      </x:c>
      <x:c r="D156" t="str">
        <x:v>Vrijbuiter</x:v>
      </x:c>
      <x:c r="E156" t="n">
        <x:v>818</x:v>
      </x:c>
      <x:c r="F156" t="n">
        <x:v>132</x:v>
      </x:c>
      <x:c r="G156" t="n">
        <x:v>462</x:v>
      </x:c>
      <x:c r="H156" t="n">
        <x:v>2181</x:v>
      </x:c>
      <x:c r="I156" t="n">
        <x:f>IF(D156="","",IFERROR(VLOOKUP(D156,'Instellingen'!$D$5:$E$13,2,FALSE),""))</x:f>
        <x:v>65</x:v>
      </x:c>
      <x:c r="J156" t="n">
        <x:f>IF(C156="","",IF(C156="Ja",100,0))</x:f>
        <x:v>0</x:v>
      </x:c>
      <x:c r="K156" t="n">
        <x:f>IF(D156="","",SUM(I156*'Instellingen'!$B$5,J156*'Instellingen'!$B$6,IFERROR(E156/MAX($E$6:$E$167)*100,0)*'Instellingen'!$B$7,IFERROR(F156/MAX($F$6:$F$167)*100,0)*'Instellingen'!$B$8,IFERROR(G156/MAX($G$6:$G$167)*100,0)*'Instellingen'!$B$9,IFERROR(H156/MAX($H$6:$H$167)*100,0)*'Instellingen'!$B$10)/SUM('Instellingen'!$B$5:$B$10))</x:f>
        <x:v>15.661851766284949</x:v>
      </x:c>
      <x:c r="L156" t="n">
        <x:f>IF(K156="","",ROUND(('Instellingen'!$B$16+('Instellingen'!$B$17-'Instellingen'!$B$16)*POWER(K156/100,'Instellingen'!$B$18))/'Instellingen'!$B$19,0)*'Instellingen'!$B$19)</x:f>
        <x:v>480</x:v>
      </x:c>
      <x:c r="M156"/>
      <x:c r="N156" t="n">
        <x:f>IF(L156="","",MAX('Instellingen'!$B$16,MIN('Instellingen'!$B$17,L156+IF(M156="",0,M156))))</x:f>
        <x:v>480</x:v>
      </x:c>
      <x:c r="O156" t="str">
        <x:f>IF(N156="","",IF(N156&gt;='Instellingen'!$B$22,"Absolute top",IF(N156&gt;='Instellingen'!$B$23,"Kopman",IF(N156&gt;='Instellingen'!$B$24,"Sterke keuze",IF(N156&gt;='Instellingen'!$B$25,"Bruikbaar","Gok")))))</x:f>
        <x:v>Gok</x:v>
      </x:c>
      <x:c r="P156" t="str">
        <x:f>IF(A156="","",IF(D156="","Rol invullen","Compleet"))</x:f>
        <x:v>Compleet</x:v>
      </x:c>
      <x:c r="Q156" t="str">
        <x:v>https://www.procyclingstats.com/rider/bruno-armirail</x:v>
      </x:c>
    </x:row>
    <x:row r="157">
      <x:c r="A157" t="str">
        <x:v>KUSS Sepp</x:v>
      </x:c>
      <x:c r="B157" t="str">
        <x:v>Team Visma | Lease a Bike</x:v>
      </x:c>
      <x:c r="C157" t="str">
        <x:v>Nee</x:v>
      </x:c>
      <x:c r="D157" t="str">
        <x:v>Kopman AK</x:v>
      </x:c>
      <x:c r="E157" t="n">
        <x:v>3232</x:v>
      </x:c>
      <x:c r="F157" t="n">
        <x:v>283</x:v>
      </x:c>
      <x:c r="G157" t="n">
        <x:v>4108</x:v>
      </x:c>
      <x:c r="H157" t="n">
        <x:v>331</x:v>
      </x:c>
      <x:c r="I157" t="n">
        <x:f>IF(D157="","",IFERROR(VLOOKUP(D157,'Instellingen'!$D$5:$E$13,2,FALSE),""))</x:f>
        <x:v>100</x:v>
      </x:c>
      <x:c r="J157" t="n">
        <x:f>IF(C157="","",IF(C157="Ja",100,0))</x:f>
        <x:v>0</x:v>
      </x:c>
      <x:c r="K157" t="n">
        <x:f>IF(D157="","",SUM(I157*'Instellingen'!$B$5,J157*'Instellingen'!$B$6,IFERROR(E157/MAX($E$6:$E$167)*100,0)*'Instellingen'!$B$7,IFERROR(F157/MAX($F$6:$F$167)*100,0)*'Instellingen'!$B$8,IFERROR(G157/MAX($G$6:$G$167)*100,0)*'Instellingen'!$B$9,IFERROR(H157/MAX($H$6:$H$167)*100,0)*'Instellingen'!$B$10)/SUM('Instellingen'!$B$5:$B$10))</x:f>
        <x:v>34.576842383113906</x:v>
      </x:c>
      <x:c r="L157" t="n">
        <x:f>IF(K157="","",ROUND(('Instellingen'!$B$16+('Instellingen'!$B$17-'Instellingen'!$B$16)*POWER(K157/100,'Instellingen'!$B$18))/'Instellingen'!$B$19,0)*'Instellingen'!$B$19)</x:f>
        <x:v>825</x:v>
      </x:c>
      <x:c r="M157"/>
      <x:c r="N157" t="n">
        <x:f>IF(L157="","",MAX('Instellingen'!$B$16,MIN('Instellingen'!$B$17,L157+IF(M157="",0,M157))))</x:f>
        <x:v>825</x:v>
      </x:c>
      <x:c r="O157" t="str">
        <x:f>IF(N157="","",IF(N157&gt;='Instellingen'!$B$22,"Absolute top",IF(N157&gt;='Instellingen'!$B$23,"Kopman",IF(N157&gt;='Instellingen'!$B$24,"Sterke keuze",IF(N157&gt;='Instellingen'!$B$25,"Bruikbaar","Gok")))))</x:f>
        <x:v>Bruikbaar</x:v>
      </x:c>
      <x:c r="P157" t="str">
        <x:f>IF(A157="","",IF(D157="","Rol invullen","Compleet"))</x:f>
        <x:v>Compleet</x:v>
      </x:c>
      <x:c r="Q157" t="str">
        <x:v>https://www.procyclingstats.com/rider/sepp-kuss</x:v>
      </x:c>
    </x:row>
    <x:row r="158">
      <x:c r="A158" t="str">
        <x:v>JOHANNESSEN Tobias Halland</x:v>
      </x:c>
      <x:c r="B158" t="str">
        <x:v>Uno-X Mobility</x:v>
      </x:c>
      <x:c r="C158" t="str">
        <x:v>Nee</x:v>
      </x:c>
      <x:c r="D158" t="str">
        <x:v>Kopman AK</x:v>
      </x:c>
      <x:c r="E158" t="n">
        <x:v>2063</x:v>
      </x:c>
      <x:c r="F158" t="n">
        <x:v>1016</x:v>
      </x:c>
      <x:c r="G158" t="n">
        <x:v>2430</x:v>
      </x:c>
      <x:c r="H158" t="n">
        <x:v>105</x:v>
      </x:c>
      <x:c r="I158" t="n">
        <x:f>IF(D158="","",IFERROR(VLOOKUP(D158,'Instellingen'!$D$5:$E$13,2,FALSE),""))</x:f>
        <x:v>100</x:v>
      </x:c>
      <x:c r="J158" t="n">
        <x:f>IF(C158="","",IF(C158="Ja",100,0))</x:f>
        <x:v>0</x:v>
      </x:c>
      <x:c r="K158" t="n">
        <x:f>IF(D158="","",SUM(I158*'Instellingen'!$B$5,J158*'Instellingen'!$B$6,IFERROR(E158/MAX($E$6:$E$167)*100,0)*'Instellingen'!$B$7,IFERROR(F158/MAX($F$6:$F$167)*100,0)*'Instellingen'!$B$8,IFERROR(G158/MAX($G$6:$G$167)*100,0)*'Instellingen'!$B$9,IFERROR(H158/MAX($H$6:$H$167)*100,0)*'Instellingen'!$B$10)/SUM('Instellingen'!$B$5:$B$10))</x:f>
        <x:v>28.616922713967742</x:v>
      </x:c>
      <x:c r="L158" t="n">
        <x:f>IF(K158="","",ROUND(('Instellingen'!$B$16+('Instellingen'!$B$17-'Instellingen'!$B$16)*POWER(K158/100,'Instellingen'!$B$18))/'Instellingen'!$B$19,0)*'Instellingen'!$B$19)</x:f>
        <x:v>706</x:v>
      </x:c>
      <x:c r="M158"/>
      <x:c r="N158" t="n">
        <x:f>IF(L158="","",MAX('Instellingen'!$B$16,MIN('Instellingen'!$B$17,L158+IF(M158="",0,M158))))</x:f>
        <x:v>706</x:v>
      </x:c>
      <x:c r="O158" t="str">
        <x:f>IF(N158="","",IF(N158&gt;='Instellingen'!$B$22,"Absolute top",IF(N158&gt;='Instellingen'!$B$23,"Kopman",IF(N158&gt;='Instellingen'!$B$24,"Sterke keuze",IF(N158&gt;='Instellingen'!$B$25,"Bruikbaar","Gok")))))</x:f>
        <x:v>Bruikbaar</x:v>
      </x:c>
      <x:c r="P158" t="str">
        <x:f>IF(A158="","",IF(D158="","Rol invullen","Compleet"))</x:f>
        <x:v>Compleet</x:v>
      </x:c>
      <x:c r="Q158" t="str">
        <x:v>https://www.procyclingstats.com/rider/tobias-halland-johannessen</x:v>
      </x:c>
    </x:row>
    <x:row r="159">
      <x:c r="A159" t="str">
        <x:v>TILLER Rasmus</x:v>
      </x:c>
      <x:c r="B159" t="str">
        <x:v>Uno-X Mobility</x:v>
      </x:c>
      <x:c r="C159" t="str">
        <x:v>Nee</x:v>
      </x:c>
      <x:c r="D159" t="str">
        <x:v>Sprinter</x:v>
      </x:c>
      <x:c r="E159" t="n">
        <x:v>376</x:v>
      </x:c>
      <x:c r="F159" t="n">
        <x:v>2785</x:v>
      </x:c>
      <x:c r="G159" t="n">
        <x:v>116</x:v>
      </x:c>
      <x:c r="H159" t="n">
        <x:v>118</x:v>
      </x:c>
      <x:c r="I159" t="n">
        <x:f>IF(D159="","",IFERROR(VLOOKUP(D159,'Instellingen'!$D$5:$E$13,2,FALSE),""))</x:f>
        <x:v>80</x:v>
      </x:c>
      <x:c r="J159" t="n">
        <x:f>IF(C159="","",IF(C159="Ja",100,0))</x:f>
        <x:v>0</x:v>
      </x:c>
      <x:c r="K159" t="n">
        <x:f>IF(D159="","",SUM(I159*'Instellingen'!$B$5,J159*'Instellingen'!$B$6,IFERROR(E159/MAX($E$6:$E$167)*100,0)*'Instellingen'!$B$7,IFERROR(F159/MAX($F$6:$F$167)*100,0)*'Instellingen'!$B$8,IFERROR(G159/MAX($G$6:$G$167)*100,0)*'Instellingen'!$B$9,IFERROR(H159/MAX($H$6:$H$167)*100,0)*'Instellingen'!$B$10)/SUM('Instellingen'!$B$5:$B$10))</x:f>
        <x:v>18.68159126853286</x:v>
      </x:c>
      <x:c r="L159" t="n">
        <x:f>IF(K159="","",ROUND(('Instellingen'!$B$16+('Instellingen'!$B$17-'Instellingen'!$B$16)*POWER(K159/100,'Instellingen'!$B$18))/'Instellingen'!$B$19,0)*'Instellingen'!$B$19)</x:f>
        <x:v>528</x:v>
      </x:c>
      <x:c r="M159"/>
      <x:c r="N159" t="n">
        <x:f>IF(L159="","",MAX('Instellingen'!$B$16,MIN('Instellingen'!$B$17,L159+IF(M159="",0,M159))))</x:f>
        <x:v>528</x:v>
      </x:c>
      <x:c r="O159" t="str">
        <x:f>IF(N159="","",IF(N159&gt;='Instellingen'!$B$22,"Absolute top",IF(N159&gt;='Instellingen'!$B$23,"Kopman",IF(N159&gt;='Instellingen'!$B$24,"Sterke keuze",IF(N159&gt;='Instellingen'!$B$25,"Bruikbaar","Gok")))))</x:f>
        <x:v>Gok</x:v>
      </x:c>
      <x:c r="P159" t="str">
        <x:f>IF(A159="","",IF(D159="","Rol invullen","Compleet"))</x:f>
        <x:v>Compleet</x:v>
      </x:c>
      <x:c r="Q159" t="str">
        <x:v>https://www.procyclingstats.com/rider/rasmus-tiller</x:v>
      </x:c>
    </x:row>
    <x:row r="160">
      <x:c r="A160" t="str">
        <x:v>DALBY Simon</x:v>
      </x:c>
      <x:c r="B160" t="str">
        <x:v>Uno-X Mobility</x:v>
      </x:c>
      <x:c r="C160" t="str">
        <x:v>Ja</x:v>
      </x:c>
      <x:c r="D160" t="str">
        <x:v>Knecht</x:v>
      </x:c>
      <x:c r="E160" t="n">
        <x:v>166</x:v>
      </x:c>
      <x:c r="F160" t="n">
        <x:v>54</x:v>
      </x:c>
      <x:c r="G160" t="n">
        <x:v>108</x:v>
      </x:c>
      <x:c r="H160" t="n">
        <x:v>0</x:v>
      </x:c>
      <x:c r="I160" t="n">
        <x:f>IF(D160="","",IFERROR(VLOOKUP(D160,'Instellingen'!$D$5:$E$13,2,FALSE),""))</x:f>
        <x:v>30</x:v>
      </x:c>
      <x:c r="J160" t="n">
        <x:f>IF(C160="","",IF(C160="Ja",100,0))</x:f>
        <x:v>100</x:v>
      </x:c>
      <x:c r="K160" t="n">
        <x:f>IF(D160="","",SUM(I160*'Instellingen'!$B$5,J160*'Instellingen'!$B$6,IFERROR(E160/MAX($E$6:$E$167)*100,0)*'Instellingen'!$B$7,IFERROR(F160/MAX($F$6:$F$167)*100,0)*'Instellingen'!$B$8,IFERROR(G160/MAX($G$6:$G$167)*100,0)*'Instellingen'!$B$9,IFERROR(H160/MAX($H$6:$H$167)*100,0)*'Instellingen'!$B$10)/SUM('Instellingen'!$B$5:$B$10))</x:f>
        <x:v>15.419586690880365</x:v>
      </x:c>
      <x:c r="L160" t="n">
        <x:f>IF(K160="","",ROUND(('Instellingen'!$B$16+('Instellingen'!$B$17-'Instellingen'!$B$16)*POWER(K160/100,'Instellingen'!$B$18))/'Instellingen'!$B$19,0)*'Instellingen'!$B$19)</x:f>
        <x:v>476</x:v>
      </x:c>
      <x:c r="M160"/>
      <x:c r="N160" t="n">
        <x:f>IF(L160="","",MAX('Instellingen'!$B$16,MIN('Instellingen'!$B$17,L160+IF(M160="",0,M160))))</x:f>
        <x:v>476</x:v>
      </x:c>
      <x:c r="O160" t="str">
        <x:f>IF(N160="","",IF(N160&gt;='Instellingen'!$B$22,"Absolute top",IF(N160&gt;='Instellingen'!$B$23,"Kopman",IF(N160&gt;='Instellingen'!$B$24,"Sterke keuze",IF(N160&gt;='Instellingen'!$B$25,"Bruikbaar","Gok")))))</x:f>
        <x:v>Gok</x:v>
      </x:c>
      <x:c r="P160" t="str">
        <x:f>IF(A160="","",IF(D160="","Rol invullen","Compleet"))</x:f>
        <x:v>Compleet</x:v>
      </x:c>
      <x:c r="Q160" t="str">
        <x:v>https://www.procyclingstats.com/rider/simon-dalby</x:v>
      </x:c>
    </x:row>
    <x:row r="161">
      <x:c r="A161" t="str">
        <x:v>TJØTTA Martin</x:v>
      </x:c>
      <x:c r="B161" t="str">
        <x:v>Uno-X Mobility</x:v>
      </x:c>
      <x:c r="C161" t="str">
        <x:v>Ja</x:v>
      </x:c>
      <x:c r="D161" t="str">
        <x:v>Knecht</x:v>
      </x:c>
      <x:c r="E161" t="n">
        <x:v>189</x:v>
      </x:c>
      <x:c r="F161" t="n">
        <x:v>77</x:v>
      </x:c>
      <x:c r="G161" t="n">
        <x:v>178</x:v>
      </x:c>
      <x:c r="H161" t="n">
        <x:v>0</x:v>
      </x:c>
      <x:c r="I161" t="n">
        <x:f>IF(D161="","",IFERROR(VLOOKUP(D161,'Instellingen'!$D$5:$E$13,2,FALSE),""))</x:f>
        <x:v>30</x:v>
      </x:c>
      <x:c r="J161" t="n">
        <x:f>IF(C161="","",IF(C161="Ja",100,0))</x:f>
        <x:v>100</x:v>
      </x:c>
      <x:c r="K161" t="n">
        <x:f>IF(D161="","",SUM(I161*'Instellingen'!$B$5,J161*'Instellingen'!$B$6,IFERROR(E161/MAX($E$6:$E$167)*100,0)*'Instellingen'!$B$7,IFERROR(F161/MAX($F$6:$F$167)*100,0)*'Instellingen'!$B$8,IFERROR(G161/MAX($G$6:$G$167)*100,0)*'Instellingen'!$B$9,IFERROR(H161/MAX($H$6:$H$167)*100,0)*'Instellingen'!$B$10)/SUM('Instellingen'!$B$5:$B$10))</x:f>
        <x:v>15.650156517456448</x:v>
      </x:c>
      <x:c r="L161" t="n">
        <x:f>IF(K161="","",ROUND(('Instellingen'!$B$16+('Instellingen'!$B$17-'Instellingen'!$B$16)*POWER(K161/100,'Instellingen'!$B$18))/'Instellingen'!$B$19,0)*'Instellingen'!$B$19)</x:f>
        <x:v>480</x:v>
      </x:c>
      <x:c r="M161"/>
      <x:c r="N161" t="n">
        <x:f>IF(L161="","",MAX('Instellingen'!$B$16,MIN('Instellingen'!$B$17,L161+IF(M161="",0,M161))))</x:f>
        <x:v>480</x:v>
      </x:c>
      <x:c r="O161" t="str">
        <x:f>IF(N161="","",IF(N161&gt;='Instellingen'!$B$22,"Absolute top",IF(N161&gt;='Instellingen'!$B$23,"Kopman",IF(N161&gt;='Instellingen'!$B$24,"Sterke keuze",IF(N161&gt;='Instellingen'!$B$25,"Bruikbaar","Gok")))))</x:f>
        <x:v>Gok</x:v>
      </x:c>
      <x:c r="P161" t="str">
        <x:f>IF(A161="","",IF(D161="","Rol invullen","Compleet"))</x:f>
        <x:v>Compleet</x:v>
      </x:c>
      <x:c r="Q161" t="str">
        <x:v>https://www.procyclingstats.com/rider/martin-tjotta</x:v>
      </x:c>
    </x:row>
    <x:row r="162">
      <x:c r="A162" t="str">
        <x:v>BARTA Will</x:v>
      </x:c>
      <x:c r="B162" t="str">
        <x:v>Tudor Pro Cycling Team</x:v>
      </x:c>
      <x:c r="C162" t="str">
        <x:v>Nee</x:v>
      </x:c>
      <x:c r="D162" t="str">
        <x:v>Meesterknecht</x:v>
      </x:c>
      <x:c r="E162" t="n">
        <x:v>645</x:v>
      </x:c>
      <x:c r="F162" t="n">
        <x:v>98</x:v>
      </x:c>
      <x:c r="G162" t="n">
        <x:v>328</x:v>
      </x:c>
      <x:c r="H162" t="n">
        <x:v>801</x:v>
      </x:c>
      <x:c r="I162" t="n">
        <x:f>IF(D162="","",IFERROR(VLOOKUP(D162,'Instellingen'!$D$5:$E$13,2,FALSE),""))</x:f>
        <x:v>55</x:v>
      </x:c>
      <x:c r="J162" t="n">
        <x:f>IF(C162="","",IF(C162="Ja",100,0))</x:f>
        <x:v>0</x:v>
      </x:c>
      <x:c r="K162" t="n">
        <x:f>IF(D162="","",SUM(I162*'Instellingen'!$B$5,J162*'Instellingen'!$B$6,IFERROR(E162/MAX($E$6:$E$167)*100,0)*'Instellingen'!$B$7,IFERROR(F162/MAX($F$6:$F$167)*100,0)*'Instellingen'!$B$8,IFERROR(G162/MAX($G$6:$G$167)*100,0)*'Instellingen'!$B$9,IFERROR(H162/MAX($H$6:$H$167)*100,0)*'Instellingen'!$B$10)/SUM('Instellingen'!$B$5:$B$10))</x:f>
        <x:v>12.129225152431436</x:v>
      </x:c>
      <x:c r="L162" t="n">
        <x:f>IF(K162="","",ROUND(('Instellingen'!$B$16+('Instellingen'!$B$17-'Instellingen'!$B$16)*POWER(K162/100,'Instellingen'!$B$18))/'Instellingen'!$B$19,0)*'Instellingen'!$B$19)</x:f>
        <x:v>428</x:v>
      </x:c>
      <x:c r="M162"/>
      <x:c r="N162" t="n">
        <x:f>IF(L162="","",MAX('Instellingen'!$B$16,MIN('Instellingen'!$B$17,L162+IF(M162="",0,M162))))</x:f>
        <x:v>428</x:v>
      </x:c>
      <x:c r="O162" t="str">
        <x:f>IF(N162="","",IF(N162&gt;='Instellingen'!$B$22,"Absolute top",IF(N162&gt;='Instellingen'!$B$23,"Kopman",IF(N162&gt;='Instellingen'!$B$24,"Sterke keuze",IF(N162&gt;='Instellingen'!$B$25,"Bruikbaar","Gok")))))</x:f>
        <x:v>Gok</x:v>
      </x:c>
      <x:c r="P162" t="str">
        <x:f>IF(A162="","",IF(D162="","Rol invullen","Compleet"))</x:f>
        <x:v>Compleet</x:v>
      </x:c>
      <x:c r="Q162" t="str">
        <x:v>https://www.procyclingstats.com/rider/william-barta</x:v>
      </x:c>
    </x:row>
    <x:row r="163">
      <x:c r="A163" t="str">
        <x:v>KLUCKERS Arthur</x:v>
      </x:c>
      <x:c r="B163" t="str">
        <x:v>Tudor Pro Cycling Team</x:v>
      </x:c>
      <x:c r="C163" t="str">
        <x:v>Nee</x:v>
      </x:c>
      <x:c r="D163" t="str">
        <x:v>Knecht</x:v>
      </x:c>
      <x:c r="E163" t="n">
        <x:v>159</x:v>
      </x:c>
      <x:c r="F163" t="n">
        <x:v>132</x:v>
      </x:c>
      <x:c r="G163" t="n">
        <x:v>20</x:v>
      </x:c>
      <x:c r="H163" t="n">
        <x:v>466</x:v>
      </x:c>
      <x:c r="I163" t="n">
        <x:f>IF(D163="","",IFERROR(VLOOKUP(D163,'Instellingen'!$D$5:$E$13,2,FALSE),""))</x:f>
        <x:v>30</x:v>
      </x:c>
      <x:c r="J163" t="n">
        <x:f>IF(C163="","",IF(C163="Ja",100,0))</x:f>
        <x:v>0</x:v>
      </x:c>
      <x:c r="K163" t="n">
        <x:f>IF(D163="","",SUM(I163*'Instellingen'!$B$5,J163*'Instellingen'!$B$6,IFERROR(E163/MAX($E$6:$E$167)*100,0)*'Instellingen'!$B$7,IFERROR(F163/MAX($F$6:$F$167)*100,0)*'Instellingen'!$B$8,IFERROR(G163/MAX($G$6:$G$167)*100,0)*'Instellingen'!$B$9,IFERROR(H163/MAX($H$6:$H$167)*100,0)*'Instellingen'!$B$10)/SUM('Instellingen'!$B$5:$B$10))</x:f>
        <x:v>5.772988472537735</x:v>
      </x:c>
      <x:c r="L163" t="n">
        <x:f>IF(K163="","",ROUND(('Instellingen'!$B$16+('Instellingen'!$B$17-'Instellingen'!$B$16)*POWER(K163/100,'Instellingen'!$B$18))/'Instellingen'!$B$19,0)*'Instellingen'!$B$19)</x:f>
        <x:v>347</x:v>
      </x:c>
      <x:c r="M163"/>
      <x:c r="N163" t="n">
        <x:f>IF(L163="","",MAX('Instellingen'!$B$16,MIN('Instellingen'!$B$17,L163+IF(M163="",0,M163))))</x:f>
        <x:v>347</x:v>
      </x:c>
      <x:c r="O163" t="str">
        <x:f>IF(N163="","",IF(N163&gt;='Instellingen'!$B$22,"Absolute top",IF(N163&gt;='Instellingen'!$B$23,"Kopman",IF(N163&gt;='Instellingen'!$B$24,"Sterke keuze",IF(N163&gt;='Instellingen'!$B$25,"Bruikbaar","Gok")))))</x:f>
        <x:v>Gok</x:v>
      </x:c>
      <x:c r="P163" t="str">
        <x:f>IF(A163="","",IF(D163="","Rol invullen","Compleet"))</x:f>
        <x:v>Compleet</x:v>
      </x:c>
      <x:c r="Q163" t="str">
        <x:v>https://www.procyclingstats.com/rider/arthur-kluckers</x:v>
      </x:c>
    </x:row>
    <x:row r="164">
      <x:c r="A164" t="str">
        <x:v>THALMANN Roland</x:v>
      </x:c>
      <x:c r="B164" t="str">
        <x:v>Tudor Pro Cycling Team</x:v>
      </x:c>
      <x:c r="C164" t="str">
        <x:v>Nee</x:v>
      </x:c>
      <x:c r="D164" t="str">
        <x:v>Knecht</x:v>
      </x:c>
      <x:c r="E164" t="n">
        <x:v>367</x:v>
      </x:c>
      <x:c r="F164" t="n">
        <x:v>221</x:v>
      </x:c>
      <x:c r="G164" t="n">
        <x:v>328</x:v>
      </x:c>
      <x:c r="H164" t="n">
        <x:v>56</x:v>
      </x:c>
      <x:c r="I164" t="n">
        <x:f>IF(D164="","",IFERROR(VLOOKUP(D164,'Instellingen'!$D$5:$E$13,2,FALSE),""))</x:f>
        <x:v>30</x:v>
      </x:c>
      <x:c r="J164" t="n">
        <x:f>IF(C164="","",IF(C164="Ja",100,0))</x:f>
        <x:v>0</x:v>
      </x:c>
      <x:c r="K164" t="n">
        <x:f>IF(D164="","",SUM(I164*'Instellingen'!$B$5,J164*'Instellingen'!$B$6,IFERROR(E164/MAX($E$6:$E$167)*100,0)*'Instellingen'!$B$7,IFERROR(F164/MAX($F$6:$F$167)*100,0)*'Instellingen'!$B$8,IFERROR(G164/MAX($G$6:$G$167)*100,0)*'Instellingen'!$B$9,IFERROR(H164/MAX($H$6:$H$167)*100,0)*'Instellingen'!$B$10)/SUM('Instellingen'!$B$5:$B$10))</x:f>
        <x:v>6.878766633779755</x:v>
      </x:c>
      <x:c r="L164" t="n">
        <x:f>IF(K164="","",ROUND(('Instellingen'!$B$16+('Instellingen'!$B$17-'Instellingen'!$B$16)*POWER(K164/100,'Instellingen'!$B$18))/'Instellingen'!$B$19,0)*'Instellingen'!$B$19)</x:f>
        <x:v>359</x:v>
      </x:c>
      <x:c r="M164"/>
      <x:c r="N164" t="n">
        <x:f>IF(L164="","",MAX('Instellingen'!$B$16,MIN('Instellingen'!$B$17,L164+IF(M164="",0,M164))))</x:f>
        <x:v>359</x:v>
      </x:c>
      <x:c r="O164" t="str">
        <x:f>IF(N164="","",IF(N164&gt;='Instellingen'!$B$22,"Absolute top",IF(N164&gt;='Instellingen'!$B$23,"Kopman",IF(N164&gt;='Instellingen'!$B$24,"Sterke keuze",IF(N164&gt;='Instellingen'!$B$25,"Bruikbaar","Gok")))))</x:f>
        <x:v>Gok</x:v>
      </x:c>
      <x:c r="P164" t="str">
        <x:f>IF(A164="","",IF(D164="","Rol invullen","Compleet"))</x:f>
        <x:v>Compleet</x:v>
      </x:c>
      <x:c r="Q164" t="str">
        <x:v>https://www.procyclingstats.com/rider/roland-thalmann</x:v>
      </x:c>
    </x:row>
    <x:row r="165">
      <x:c r="A165" t="str">
        <x:v>WARBASSE Larry</x:v>
      </x:c>
      <x:c r="B165" t="str">
        <x:v>Tudor Pro Cycling Team</x:v>
      </x:c>
      <x:c r="C165" t="str">
        <x:v>Nee</x:v>
      </x:c>
      <x:c r="D165" t="str">
        <x:v>Meesterknecht</x:v>
      </x:c>
      <x:c r="E165" t="n">
        <x:v>909</x:v>
      </x:c>
      <x:c r="F165" t="n">
        <x:v>396</x:v>
      </x:c>
      <x:c r="G165" t="n">
        <x:v>580</x:v>
      </x:c>
      <x:c r="H165" t="n">
        <x:v>397</x:v>
      </x:c>
      <x:c r="I165" t="n">
        <x:f>IF(D165="","",IFERROR(VLOOKUP(D165,'Instellingen'!$D$5:$E$13,2,FALSE),""))</x:f>
        <x:v>55</x:v>
      </x:c>
      <x:c r="J165" t="n">
        <x:f>IF(C165="","",IF(C165="Ja",100,0))</x:f>
        <x:v>0</x:v>
      </x:c>
      <x:c r="K165" t="n">
        <x:f>IF(D165="","",SUM(I165*'Instellingen'!$B$5,J165*'Instellingen'!$B$6,IFERROR(E165/MAX($E$6:$E$167)*100,0)*'Instellingen'!$B$7,IFERROR(F165/MAX($F$6:$F$167)*100,0)*'Instellingen'!$B$8,IFERROR(G165/MAX($G$6:$G$167)*100,0)*'Instellingen'!$B$9,IFERROR(H165/MAX($H$6:$H$167)*100,0)*'Instellingen'!$B$10)/SUM('Instellingen'!$B$5:$B$10))</x:f>
        <x:v>13.758085941046897</x:v>
      </x:c>
      <x:c r="L165" t="n">
        <x:f>IF(K165="","",ROUND(('Instellingen'!$B$16+('Instellingen'!$B$17-'Instellingen'!$B$16)*POWER(K165/100,'Instellingen'!$B$18))/'Instellingen'!$B$19,0)*'Instellingen'!$B$19)</x:f>
        <x:v>451</x:v>
      </x:c>
      <x:c r="M165"/>
      <x:c r="N165" t="n">
        <x:f>IF(L165="","",MAX('Instellingen'!$B$16,MIN('Instellingen'!$B$17,L165+IF(M165="",0,M165))))</x:f>
        <x:v>451</x:v>
      </x:c>
      <x:c r="O165" t="str">
        <x:f>IF(N165="","",IF(N165&gt;='Instellingen'!$B$22,"Absolute top",IF(N165&gt;='Instellingen'!$B$23,"Kopman",IF(N165&gt;='Instellingen'!$B$24,"Sterke keuze",IF(N165&gt;='Instellingen'!$B$25,"Bruikbaar","Gok")))))</x:f>
        <x:v>Gok</x:v>
      </x:c>
      <x:c r="P165" t="str">
        <x:f>IF(A165="","",IF(D165="","Rol invullen","Compleet"))</x:f>
        <x:v>Compleet</x:v>
      </x:c>
      <x:c r="Q165" t="str">
        <x:v>https://www.procyclingstats.com/rider/lawrence-warbasse</x:v>
      </x:c>
    </x:row>
    <x:row r="166">
      <x:c r="A166" t="str">
        <x:v>WEISS Fabian</x:v>
      </x:c>
      <x:c r="B166" t="str">
        <x:v>Tudor Pro Cycling Team</x:v>
      </x:c>
      <x:c r="C166" t="str">
        <x:v>Ja</x:v>
      </x:c>
      <x:c r="D166" t="str">
        <x:v>Onzeker</x:v>
      </x:c>
      <x:c r="E166" t="n">
        <x:v>16</x:v>
      </x:c>
      <x:c r="F166" t="n">
        <x:v>96</x:v>
      </x:c>
      <x:c r="G166" t="n">
        <x:v>10</x:v>
      </x:c>
      <x:c r="H166" t="n">
        <x:v>92</x:v>
      </x:c>
      <x:c r="I166" t="n">
        <x:f>IF(D166="","",IFERROR(VLOOKUP(D166,'Instellingen'!$D$5:$E$13,2,FALSE),""))</x:f>
        <x:v>20</x:v>
      </x:c>
      <x:c r="J166" t="n">
        <x:f>IF(C166="","",IF(C166="Ja",100,0))</x:f>
        <x:v>100</x:v>
      </x:c>
      <x:c r="K166" t="n">
        <x:f>IF(D166="","",SUM(I166*'Instellingen'!$B$5,J166*'Instellingen'!$B$6,IFERROR(E166/MAX($E$6:$E$167)*100,0)*'Instellingen'!$B$7,IFERROR(F166/MAX($F$6:$F$167)*100,0)*'Instellingen'!$B$8,IFERROR(G166/MAX($G$6:$G$167)*100,0)*'Instellingen'!$B$9,IFERROR(H166/MAX($H$6:$H$167)*100,0)*'Instellingen'!$B$10)/SUM('Instellingen'!$B$5:$B$10))</x:f>
        <x:v>13.320025116848855</x:v>
      </x:c>
      <x:c r="L166" t="n">
        <x:f>IF(K166="","",ROUND(('Instellingen'!$B$16+('Instellingen'!$B$17-'Instellingen'!$B$16)*POWER(K166/100,'Instellingen'!$B$18))/'Instellingen'!$B$19,0)*'Instellingen'!$B$19)</x:f>
        <x:v>445</x:v>
      </x:c>
      <x:c r="M166"/>
      <x:c r="N166" t="n">
        <x:f>IF(L166="","",MAX('Instellingen'!$B$16,MIN('Instellingen'!$B$17,L166+IF(M166="",0,M166))))</x:f>
        <x:v>445</x:v>
      </x:c>
      <x:c r="O166" t="str">
        <x:f>IF(N166="","",IF(N166&gt;='Instellingen'!$B$22,"Absolute top",IF(N166&gt;='Instellingen'!$B$23,"Kopman",IF(N166&gt;='Instellingen'!$B$24,"Sterke keuze",IF(N166&gt;='Instellingen'!$B$25,"Bruikbaar","Gok")))))</x:f>
        <x:v>Gok</x:v>
      </x:c>
      <x:c r="P166" t="str">
        <x:f>IF(A166="","",IF(D166="","Rol invullen","Compleet"))</x:f>
        <x:v>Compleet</x:v>
      </x:c>
      <x:c r="Q166" t="str">
        <x:v>https://www.procyclingstats.com/rider/fabian-weiss</x:v>
      </x:c>
    </x:row>
    <x:row r="167">
      <x:c r="A167" t="str">
        <x:v>WILKSCH Hannes</x:v>
      </x:c>
      <x:c r="B167" t="str">
        <x:v>Tudor Pro Cycling Team</x:v>
      </x:c>
      <x:c r="C167" t="str">
        <x:v>Ja</x:v>
      </x:c>
      <x:c r="D167" t="str">
        <x:v>Onzeker</x:v>
      </x:c>
      <x:c r="E167" t="n">
        <x:v>97</x:v>
      </x:c>
      <x:c r="F167" t="n">
        <x:v>84</x:v>
      </x:c>
      <x:c r="G167" t="n">
        <x:v>39</x:v>
      </x:c>
      <x:c r="H167" t="n">
        <x:v>4</x:v>
      </x:c>
      <x:c r="I167" t="n">
        <x:f>IF(D167="","",IFERROR(VLOOKUP(D167,'Instellingen'!$D$5:$E$13,2,FALSE),""))</x:f>
        <x:v>20</x:v>
      </x:c>
      <x:c r="J167" t="n">
        <x:f>IF(C167="","",IF(C167="Ja",100,0))</x:f>
        <x:v>100</x:v>
      </x:c>
      <x:c r="K167" t="n">
        <x:f>IF(D167="","",SUM(I167*'Instellingen'!$B$5,J167*'Instellingen'!$B$6,IFERROR(E167/MAX($E$6:$E$167)*100,0)*'Instellingen'!$B$7,IFERROR(F167/MAX($F$6:$F$167)*100,0)*'Instellingen'!$B$8,IFERROR(G167/MAX($G$6:$G$167)*100,0)*'Instellingen'!$B$9,IFERROR(H167/MAX($H$6:$H$167)*100,0)*'Instellingen'!$B$10)/SUM('Instellingen'!$B$5:$B$10))</x:f>
        <x:v>13.599503721821014</x:v>
      </x:c>
      <x:c r="L167" t="n">
        <x:f>IF(K167="","",ROUND(('Instellingen'!$B$16+('Instellingen'!$B$17-'Instellingen'!$B$16)*POWER(K167/100,'Instellingen'!$B$18))/'Instellingen'!$B$19,0)*'Instellingen'!$B$19)</x:f>
        <x:v>449</x:v>
      </x:c>
      <x:c r="M167"/>
      <x:c r="N167" t="n">
        <x:f>IF(L167="","",MAX('Instellingen'!$B$16,MIN('Instellingen'!$B$17,L167+IF(M167="",0,M167))))</x:f>
        <x:v>449</x:v>
      </x:c>
      <x:c r="O167" t="str">
        <x:f>IF(N167="","",IF(N167&gt;='Instellingen'!$B$22,"Absolute top",IF(N167&gt;='Instellingen'!$B$23,"Kopman",IF(N167&gt;='Instellingen'!$B$24,"Sterke keuze",IF(N167&gt;='Instellingen'!$B$25,"Bruikbaar","Gok")))))</x:f>
        <x:v>Gok</x:v>
      </x:c>
      <x:c r="P167" t="str">
        <x:f>IF(A167="","",IF(D167="","Rol invullen","Compleet"))</x:f>
        <x:v>Compleet</x:v>
      </x:c>
      <x:c r="Q167" t="str">
        <x:v>https://www.procyclingstats.com/rider/hannes-wilksch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3.62999725341797" hidden="0" customWidth="1"/>
    <x:col min="2" max="2" width="4.25" hidden="0" customWidth="1"/>
    <x:col min="4" max="4" width="18.1299991607666" hidden="0" customWidth="1"/>
    <x:col min="5" max="5" width="3.380000114440918" hidden="0" customWidth="1"/>
  </x:cols>
  <x:sheetData>
    <x:row r="1">
      <x:c r="A1" s="4" t="str">
        <x:v>Instellingen PCS-prijsmodel</x:v>
      </x:c>
      <x:c r="B1" s="4"/>
      <x:c r="C1" s="4"/>
      <x:c r="D1" s="4"/>
      <x:c r="E1" s="4"/>
    </x:row>
    <x:row r="2">
      <x:c r="A2" t="str">
        <x:v>De PCS-scores worden per categorie genormaliseerd ten opzichte van de hoogste score in deze actuele startlijst.</x:v>
      </x:c>
      <x:c r="B2"/>
      <x:c r="C2"/>
      <x:c r="D2"/>
      <x:c r="E2"/>
    </x:row>
    <x:row r="3">
      <x:c r="A3"/>
      <x:c r="B3"/>
      <x:c r="C3"/>
      <x:c r="D3"/>
      <x:c r="E3"/>
    </x:row>
    <x:row r="4">
      <x:c r="A4" t="str">
        <x:v>Gewichten</x:v>
      </x:c>
      <x:c r="B4"/>
      <x:c r="C4"/>
      <x:c r="D4" t="str">
        <x:v>Score per verwachte rol</x:v>
      </x:c>
      <x:c r="E4"/>
    </x:row>
    <x:row r="5">
      <x:c r="A5" t="str">
        <x:v>Verwachte rol</x:v>
      </x:c>
      <x:c r="B5" t="n">
        <x:v>15</x:v>
      </x:c>
      <x:c r="C5"/>
      <x:c r="D5" t="str">
        <x:v>Kopman AK</x:v>
      </x:c>
      <x:c r="E5" t="n">
        <x:v>100</x:v>
      </x:c>
    </x:row>
    <x:row r="6">
      <x:c r="A6" t="str">
        <x:v>Jongere</x:v>
      </x:c>
      <x:c r="B6" t="n">
        <x:v>10</x:v>
      </x:c>
      <x:c r="C6"/>
      <x:c r="D6" t="str">
        <x:v>Kopman punten</x:v>
      </x:c>
      <x:c r="E6" t="n">
        <x:v>90</x:v>
      </x:c>
    </x:row>
    <x:row r="7">
      <x:c r="A7" t="str">
        <x:v>Algemeen</x:v>
      </x:c>
      <x:c r="B7" t="n">
        <x:v>35</x:v>
      </x:c>
      <x:c r="C7"/>
      <x:c r="D7" t="str">
        <x:v>Kopman berg</x:v>
      </x:c>
      <x:c r="E7" t="n">
        <x:v>85</x:v>
      </x:c>
    </x:row>
    <x:row r="8">
      <x:c r="A8" t="str">
        <x:v>Punten</x:v>
      </x:c>
      <x:c r="B8" t="n">
        <x:v>20</x:v>
      </x:c>
      <x:c r="C8"/>
      <x:c r="D8" t="str">
        <x:v>Sprinter</x:v>
      </x:c>
      <x:c r="E8" t="n">
        <x:v>80</x:v>
      </x:c>
    </x:row>
    <x:row r="9">
      <x:c r="A9" t="str">
        <x:v>Berg</x:v>
      </x:c>
      <x:c r="B9" t="n">
        <x:v>15</x:v>
      </x:c>
      <x:c r="C9"/>
      <x:c r="D9" t="str">
        <x:v>Vrijbuiter</x:v>
      </x:c>
      <x:c r="E9" t="n">
        <x:v>65</x:v>
      </x:c>
    </x:row>
    <x:row r="10">
      <x:c r="A10" t="str">
        <x:v>TT</x:v>
      </x:c>
      <x:c r="B10" t="n">
        <x:v>5</x:v>
      </x:c>
      <x:c r="C10"/>
      <x:c r="D10" t="str">
        <x:v>Meesterknecht</x:v>
      </x:c>
      <x:c r="E10" t="n">
        <x:v>55</x:v>
      </x:c>
    </x:row>
    <x:row r="11">
      <x:c r="A11" t="str">
        <x:v>Totaal</x:v>
      </x:c>
      <x:c r="B11" t="n">
        <x:v>100</x:v>
      </x:c>
      <x:c r="C11"/>
      <x:c r="D11" t="str">
        <x:v>Lead-out</x:v>
      </x:c>
      <x:c r="E11" t="n">
        <x:v>45</x:v>
      </x:c>
    </x:row>
    <x:row r="12">
      <x:c r="A12"/>
      <x:c r="B12"/>
      <x:c r="C12"/>
      <x:c r="D12" t="str">
        <x:v>Knecht</x:v>
      </x:c>
      <x:c r="E12" t="n">
        <x:v>30</x:v>
      </x:c>
    </x:row>
    <x:row r="13">
      <x:c r="A13"/>
      <x:c r="B13"/>
      <x:c r="C13"/>
      <x:c r="D13" t="str">
        <x:v>Onzeker</x:v>
      </x:c>
      <x:c r="E13" t="n">
        <x:v>20</x:v>
      </x:c>
    </x:row>
    <x:row r="14">
      <x:c r="A14"/>
      <x:c r="B14"/>
      <x:c r="C14"/>
      <x:c r="D14"/>
      <x:c r="E14"/>
    </x:row>
    <x:row r="15">
      <x:c r="A15" t="str">
        <x:v>Prijsformule</x:v>
      </x:c>
      <x:c r="B15"/>
      <x:c r="C15"/>
      <x:c r="D15"/>
      <x:c r="E15"/>
    </x:row>
    <x:row r="16">
      <x:c r="A16" t="str">
        <x:v>Minimumprijs</x:v>
      </x:c>
      <x:c r="B16" t="n">
        <x:v>300</x:v>
      </x:c>
      <x:c r="C16"/>
      <x:c r="D16"/>
      <x:c r="E16"/>
    </x:row>
    <x:row r="17">
      <x:c r="A17" t="str">
        <x:v>Maximumprijs</x:v>
      </x:c>
      <x:c r="B17" t="n">
        <x:v>2500</x:v>
      </x:c>
      <x:c r="C17"/>
      <x:c r="D17"/>
      <x:c r="E17"/>
    </x:row>
    <x:row r="18">
      <x:c r="A18" t="str">
        <x:v>Exponent</x:v>
      </x:c>
      <x:c r="B18" t="n">
        <x:v>1.35</x:v>
      </x:c>
      <x:c r="C18"/>
      <x:c r="D18"/>
      <x:c r="E18"/>
    </x:row>
    <x:row r="19">
      <x:c r="A19" t="str">
        <x:v>Afronden op</x:v>
      </x:c>
      <x:c r="B19" t="n">
        <x:v>1</x:v>
      </x:c>
      <x:c r="C19"/>
      <x:c r="D19"/>
      <x:c r="E19"/>
    </x:row>
    <x:row r="20">
      <x:c r="A20"/>
      <x:c r="B20"/>
      <x:c r="C20"/>
      <x:c r="D20"/>
      <x:c r="E20"/>
    </x:row>
    <x:row r="21">
      <x:c r="A21" t="str">
        <x:v>Prijsniveaus</x:v>
      </x:c>
      <x:c r="B21"/>
      <x:c r="C21"/>
      <x:c r="D21"/>
      <x:c r="E21"/>
    </x:row>
    <x:row r="22">
      <x:c r="A22" t="str">
        <x:v>Absolute top vanaf</x:v>
      </x:c>
      <x:c r="B22" t="n">
        <x:v>2200</x:v>
      </x:c>
      <x:c r="C22"/>
      <x:c r="D22"/>
      <x:c r="E22"/>
    </x:row>
    <x:row r="23">
      <x:c r="A23" t="str">
        <x:v>Kopman vanaf</x:v>
      </x:c>
      <x:c r="B23" t="n">
        <x:v>1600</x:v>
      </x:c>
      <x:c r="C23"/>
      <x:c r="D23"/>
      <x:c r="E23"/>
    </x:row>
    <x:row r="24">
      <x:c r="A24" t="str">
        <x:v>Sterke keuze vanaf</x:v>
      </x:c>
      <x:c r="B24" t="n">
        <x:v>1100</x:v>
      </x:c>
      <x:c r="C24"/>
      <x:c r="D24"/>
      <x:c r="E24"/>
    </x:row>
    <x:row r="25">
      <x:c r="A25" t="str">
        <x:v>Bruikbaar vanaf</x:v>
      </x:c>
      <x:c r="B25" t="n">
        <x:v>700</x:v>
      </x:c>
      <x:c r="C25"/>
      <x:c r="D25"/>
      <x:c r="E25"/>
    </x:row>
    <x:row r="26">
      <x:c r="A26" t="str">
        <x:v>Gok: lager dan</x:v>
      </x:c>
      <x:c r="B26" t="n">
        <x:v>700</x:v>
      </x:c>
      <x:c r="C26"/>
      <x:c r="D26"/>
      <x:c r="E26"/>
    </x:row>
  </x:sheetData>
  <x:pageMargins left="0.7" right="0.7" top="0.75" bottom="0.75" header="0.3" footer="0.3"/>
</x:worksheet>
</file>