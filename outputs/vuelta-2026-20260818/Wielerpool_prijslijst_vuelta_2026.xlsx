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ejes\Documents\Codex\Projecten\_gedeelde-logica\outputs\vuelta-2026-20260818\"/>
    </mc:Choice>
  </mc:AlternateContent>
  <xr:revisionPtr revIDLastSave="0" documentId="13_ncr:1_{8CA8DD42-18FC-455B-A3D0-6FCD03B88B97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Renners" sheetId="1" r:id="rId1"/>
    <sheet name="Instellingen" sheetId="2" r:id="rId2"/>
  </sheets>
  <definedNames>
    <definedName name="_xlnm._FilterDatabase" localSheetId="0" hidden="1">Renners!$A$5:$Q$189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9" i="1" l="1"/>
  <c r="J119" i="1"/>
  <c r="I119" i="1"/>
  <c r="K119" i="1" s="1"/>
  <c r="L119" i="1" s="1"/>
  <c r="N119" i="1" s="1"/>
  <c r="O119" i="1" s="1"/>
  <c r="P147" i="1"/>
  <c r="J147" i="1"/>
  <c r="I147" i="1"/>
  <c r="P48" i="1"/>
  <c r="J48" i="1"/>
  <c r="I48" i="1"/>
  <c r="K48" i="1" s="1"/>
  <c r="L48" i="1" s="1"/>
  <c r="N48" i="1" s="1"/>
  <c r="O48" i="1" s="1"/>
  <c r="P78" i="1"/>
  <c r="J78" i="1"/>
  <c r="I78" i="1"/>
  <c r="K78" i="1" s="1"/>
  <c r="L78" i="1" s="1"/>
  <c r="N78" i="1" s="1"/>
  <c r="O78" i="1" s="1"/>
  <c r="P50" i="1"/>
  <c r="J50" i="1"/>
  <c r="I50" i="1"/>
  <c r="K50" i="1" s="1"/>
  <c r="L50" i="1" s="1"/>
  <c r="N50" i="1" s="1"/>
  <c r="O50" i="1" s="1"/>
  <c r="P116" i="1"/>
  <c r="J116" i="1"/>
  <c r="I116" i="1"/>
  <c r="K116" i="1" s="1"/>
  <c r="L116" i="1" s="1"/>
  <c r="N116" i="1" s="1"/>
  <c r="O116" i="1" s="1"/>
  <c r="P25" i="1"/>
  <c r="J25" i="1"/>
  <c r="I25" i="1"/>
  <c r="K25" i="1" s="1"/>
  <c r="L25" i="1" s="1"/>
  <c r="N25" i="1" s="1"/>
  <c r="O25" i="1" s="1"/>
  <c r="P160" i="1"/>
  <c r="J160" i="1"/>
  <c r="I160" i="1"/>
  <c r="K160" i="1" s="1"/>
  <c r="L160" i="1" s="1"/>
  <c r="N160" i="1" s="1"/>
  <c r="O160" i="1" s="1"/>
  <c r="P180" i="1"/>
  <c r="J180" i="1"/>
  <c r="I180" i="1"/>
  <c r="K180" i="1" s="1"/>
  <c r="L180" i="1" s="1"/>
  <c r="N180" i="1" s="1"/>
  <c r="O180" i="1" s="1"/>
  <c r="P80" i="1"/>
  <c r="J80" i="1"/>
  <c r="I80" i="1"/>
  <c r="K80" i="1" s="1"/>
  <c r="L80" i="1" s="1"/>
  <c r="N80" i="1" s="1"/>
  <c r="O80" i="1" s="1"/>
  <c r="P63" i="1"/>
  <c r="J63" i="1"/>
  <c r="I63" i="1"/>
  <c r="K63" i="1" s="1"/>
  <c r="L63" i="1" s="1"/>
  <c r="N63" i="1" s="1"/>
  <c r="O63" i="1" s="1"/>
  <c r="P109" i="1"/>
  <c r="J109" i="1"/>
  <c r="I109" i="1"/>
  <c r="P87" i="1"/>
  <c r="J87" i="1"/>
  <c r="I87" i="1"/>
  <c r="K87" i="1" s="1"/>
  <c r="L87" i="1" s="1"/>
  <c r="N87" i="1" s="1"/>
  <c r="O87" i="1" s="1"/>
  <c r="P178" i="1"/>
  <c r="J178" i="1"/>
  <c r="I178" i="1"/>
  <c r="K178" i="1" s="1"/>
  <c r="L178" i="1" s="1"/>
  <c r="N178" i="1" s="1"/>
  <c r="O178" i="1" s="1"/>
  <c r="P123" i="1"/>
  <c r="J123" i="1"/>
  <c r="I123" i="1"/>
  <c r="K123" i="1" s="1"/>
  <c r="L123" i="1" s="1"/>
  <c r="N123" i="1" s="1"/>
  <c r="O123" i="1" s="1"/>
  <c r="P133" i="1"/>
  <c r="J133" i="1"/>
  <c r="I133" i="1"/>
  <c r="P117" i="1"/>
  <c r="J117" i="1"/>
  <c r="I117" i="1"/>
  <c r="P110" i="1"/>
  <c r="J110" i="1"/>
  <c r="I110" i="1"/>
  <c r="P40" i="1"/>
  <c r="J40" i="1"/>
  <c r="I40" i="1"/>
  <c r="P20" i="1"/>
  <c r="J20" i="1"/>
  <c r="I20" i="1"/>
  <c r="K20" i="1" s="1"/>
  <c r="L20" i="1" s="1"/>
  <c r="N20" i="1" s="1"/>
  <c r="O20" i="1" s="1"/>
  <c r="P84" i="1"/>
  <c r="J84" i="1"/>
  <c r="I84" i="1"/>
  <c r="K84" i="1" s="1"/>
  <c r="L84" i="1" s="1"/>
  <c r="N84" i="1" s="1"/>
  <c r="O84" i="1" s="1"/>
  <c r="P177" i="1"/>
  <c r="J177" i="1"/>
  <c r="I177" i="1"/>
  <c r="P89" i="1"/>
  <c r="J89" i="1"/>
  <c r="I89" i="1"/>
  <c r="P155" i="1"/>
  <c r="J155" i="1"/>
  <c r="I155" i="1"/>
  <c r="P9" i="1"/>
  <c r="J9" i="1"/>
  <c r="I9" i="1"/>
  <c r="P121" i="1"/>
  <c r="J121" i="1"/>
  <c r="I121" i="1"/>
  <c r="P128" i="1"/>
  <c r="J128" i="1"/>
  <c r="I128" i="1"/>
  <c r="K128" i="1" s="1"/>
  <c r="L128" i="1" s="1"/>
  <c r="N128" i="1" s="1"/>
  <c r="O128" i="1" s="1"/>
  <c r="P136" i="1"/>
  <c r="J136" i="1"/>
  <c r="I136" i="1"/>
  <c r="K136" i="1" s="1"/>
  <c r="L136" i="1" s="1"/>
  <c r="N136" i="1" s="1"/>
  <c r="O136" i="1" s="1"/>
  <c r="P167" i="1"/>
  <c r="J167" i="1"/>
  <c r="I167" i="1"/>
  <c r="K167" i="1" s="1"/>
  <c r="L167" i="1" s="1"/>
  <c r="N167" i="1" s="1"/>
  <c r="O167" i="1" s="1"/>
  <c r="P181" i="1"/>
  <c r="J181" i="1"/>
  <c r="I181" i="1"/>
  <c r="K181" i="1" s="1"/>
  <c r="L181" i="1" s="1"/>
  <c r="N181" i="1" s="1"/>
  <c r="O181" i="1" s="1"/>
  <c r="P145" i="1"/>
  <c r="J145" i="1"/>
  <c r="I145" i="1"/>
  <c r="K145" i="1" s="1"/>
  <c r="L145" i="1" s="1"/>
  <c r="N145" i="1" s="1"/>
  <c r="O145" i="1" s="1"/>
  <c r="P105" i="1"/>
  <c r="J105" i="1"/>
  <c r="I105" i="1"/>
  <c r="K105" i="1" s="1"/>
  <c r="L105" i="1" s="1"/>
  <c r="N105" i="1" s="1"/>
  <c r="O105" i="1" s="1"/>
  <c r="P114" i="1"/>
  <c r="J114" i="1"/>
  <c r="I114" i="1"/>
  <c r="K114" i="1" s="1"/>
  <c r="L114" i="1" s="1"/>
  <c r="N114" i="1" s="1"/>
  <c r="O114" i="1" s="1"/>
  <c r="P65" i="1"/>
  <c r="J65" i="1"/>
  <c r="I65" i="1"/>
  <c r="P31" i="1"/>
  <c r="J31" i="1"/>
  <c r="I31" i="1"/>
  <c r="P23" i="1"/>
  <c r="J23" i="1"/>
  <c r="I23" i="1"/>
  <c r="K23" i="1" s="1"/>
  <c r="L23" i="1" s="1"/>
  <c r="N23" i="1" s="1"/>
  <c r="O23" i="1" s="1"/>
  <c r="P104" i="1"/>
  <c r="J104" i="1"/>
  <c r="I104" i="1"/>
  <c r="P64" i="1"/>
  <c r="J64" i="1"/>
  <c r="I64" i="1"/>
  <c r="P122" i="1"/>
  <c r="J122" i="1"/>
  <c r="I122" i="1"/>
  <c r="P54" i="1"/>
  <c r="J54" i="1"/>
  <c r="I54" i="1"/>
  <c r="P44" i="1"/>
  <c r="J44" i="1"/>
  <c r="I44" i="1"/>
  <c r="K44" i="1" s="1"/>
  <c r="L44" i="1" s="1"/>
  <c r="N44" i="1" s="1"/>
  <c r="O44" i="1" s="1"/>
  <c r="P41" i="1"/>
  <c r="J41" i="1"/>
  <c r="I41" i="1"/>
  <c r="P49" i="1"/>
  <c r="J49" i="1"/>
  <c r="I49" i="1"/>
  <c r="P70" i="1"/>
  <c r="J70" i="1"/>
  <c r="I70" i="1"/>
  <c r="P159" i="1"/>
  <c r="J159" i="1"/>
  <c r="I159" i="1"/>
  <c r="K159" i="1" s="1"/>
  <c r="L159" i="1" s="1"/>
  <c r="N159" i="1" s="1"/>
  <c r="O159" i="1" s="1"/>
  <c r="P35" i="1"/>
  <c r="J35" i="1"/>
  <c r="I35" i="1"/>
  <c r="K35" i="1" s="1"/>
  <c r="L35" i="1" s="1"/>
  <c r="N35" i="1" s="1"/>
  <c r="O35" i="1" s="1"/>
  <c r="P69" i="1"/>
  <c r="J69" i="1"/>
  <c r="I69" i="1"/>
  <c r="K69" i="1" s="1"/>
  <c r="L69" i="1" s="1"/>
  <c r="N69" i="1" s="1"/>
  <c r="O69" i="1" s="1"/>
  <c r="P154" i="1"/>
  <c r="J154" i="1"/>
  <c r="I154" i="1"/>
  <c r="K154" i="1" s="1"/>
  <c r="L154" i="1" s="1"/>
  <c r="N154" i="1" s="1"/>
  <c r="O154" i="1" s="1"/>
  <c r="P143" i="1"/>
  <c r="J143" i="1"/>
  <c r="I143" i="1"/>
  <c r="K143" i="1" s="1"/>
  <c r="L143" i="1" s="1"/>
  <c r="N143" i="1" s="1"/>
  <c r="O143" i="1" s="1"/>
  <c r="P33" i="1"/>
  <c r="J33" i="1"/>
  <c r="I33" i="1"/>
  <c r="P107" i="1"/>
  <c r="J107" i="1"/>
  <c r="I107" i="1"/>
  <c r="P62" i="1"/>
  <c r="J62" i="1"/>
  <c r="I62" i="1"/>
  <c r="K62" i="1" s="1"/>
  <c r="L62" i="1" s="1"/>
  <c r="N62" i="1" s="1"/>
  <c r="O62" i="1" s="1"/>
  <c r="P148" i="1"/>
  <c r="J148" i="1"/>
  <c r="I148" i="1"/>
  <c r="P124" i="1"/>
  <c r="J124" i="1"/>
  <c r="I124" i="1"/>
  <c r="P74" i="1"/>
  <c r="J74" i="1"/>
  <c r="I74" i="1"/>
  <c r="P100" i="1"/>
  <c r="J100" i="1"/>
  <c r="I100" i="1"/>
  <c r="P127" i="1"/>
  <c r="J127" i="1"/>
  <c r="I127" i="1"/>
  <c r="P90" i="1"/>
  <c r="J90" i="1"/>
  <c r="I90" i="1"/>
  <c r="P67" i="1"/>
  <c r="J67" i="1"/>
  <c r="I67" i="1"/>
  <c r="P166" i="1"/>
  <c r="J166" i="1"/>
  <c r="I166" i="1"/>
  <c r="P85" i="1"/>
  <c r="J85" i="1"/>
  <c r="I85" i="1"/>
  <c r="K85" i="1" s="1"/>
  <c r="L85" i="1" s="1"/>
  <c r="N85" i="1" s="1"/>
  <c r="O85" i="1" s="1"/>
  <c r="P113" i="1"/>
  <c r="J113" i="1"/>
  <c r="I113" i="1"/>
  <c r="K113" i="1" s="1"/>
  <c r="L113" i="1" s="1"/>
  <c r="N113" i="1" s="1"/>
  <c r="O113" i="1" s="1"/>
  <c r="P182" i="1"/>
  <c r="J182" i="1"/>
  <c r="I182" i="1"/>
  <c r="K182" i="1" s="1"/>
  <c r="L182" i="1" s="1"/>
  <c r="N182" i="1" s="1"/>
  <c r="O182" i="1" s="1"/>
  <c r="P126" i="1"/>
  <c r="J126" i="1"/>
  <c r="I126" i="1"/>
  <c r="P184" i="1"/>
  <c r="J184" i="1"/>
  <c r="I184" i="1"/>
  <c r="P77" i="1"/>
  <c r="J77" i="1"/>
  <c r="I77" i="1"/>
  <c r="P66" i="1"/>
  <c r="J66" i="1"/>
  <c r="I66" i="1"/>
  <c r="P150" i="1"/>
  <c r="J150" i="1"/>
  <c r="I150" i="1"/>
  <c r="K150" i="1" s="1"/>
  <c r="L150" i="1" s="1"/>
  <c r="N150" i="1" s="1"/>
  <c r="O150" i="1" s="1"/>
  <c r="P76" i="1"/>
  <c r="J76" i="1"/>
  <c r="I76" i="1"/>
  <c r="K76" i="1" s="1"/>
  <c r="L76" i="1" s="1"/>
  <c r="N76" i="1" s="1"/>
  <c r="O76" i="1" s="1"/>
  <c r="P98" i="1"/>
  <c r="J98" i="1"/>
  <c r="I98" i="1"/>
  <c r="K98" i="1" s="1"/>
  <c r="L98" i="1" s="1"/>
  <c r="N98" i="1" s="1"/>
  <c r="O98" i="1" s="1"/>
  <c r="P96" i="1"/>
  <c r="J96" i="1"/>
  <c r="I96" i="1"/>
  <c r="P138" i="1"/>
  <c r="J138" i="1"/>
  <c r="I138" i="1"/>
  <c r="P61" i="1"/>
  <c r="J61" i="1"/>
  <c r="I61" i="1"/>
  <c r="K61" i="1" s="1"/>
  <c r="L61" i="1" s="1"/>
  <c r="N61" i="1" s="1"/>
  <c r="O61" i="1" s="1"/>
  <c r="P169" i="1"/>
  <c r="J169" i="1"/>
  <c r="I169" i="1"/>
  <c r="P188" i="1"/>
  <c r="J188" i="1"/>
  <c r="I188" i="1"/>
  <c r="P161" i="1"/>
  <c r="J161" i="1"/>
  <c r="I161" i="1"/>
  <c r="K161" i="1" s="1"/>
  <c r="L161" i="1" s="1"/>
  <c r="N161" i="1" s="1"/>
  <c r="O161" i="1" s="1"/>
  <c r="P162" i="1"/>
  <c r="J162" i="1"/>
  <c r="I162" i="1"/>
  <c r="K162" i="1" s="1"/>
  <c r="L162" i="1" s="1"/>
  <c r="N162" i="1" s="1"/>
  <c r="O162" i="1" s="1"/>
  <c r="P173" i="1"/>
  <c r="J173" i="1"/>
  <c r="I173" i="1"/>
  <c r="K173" i="1" s="1"/>
  <c r="L173" i="1" s="1"/>
  <c r="N173" i="1" s="1"/>
  <c r="O173" i="1" s="1"/>
  <c r="P75" i="1"/>
  <c r="J75" i="1"/>
  <c r="I75" i="1"/>
  <c r="K75" i="1" s="1"/>
  <c r="L75" i="1" s="1"/>
  <c r="N75" i="1" s="1"/>
  <c r="O75" i="1" s="1"/>
  <c r="P179" i="1"/>
  <c r="J179" i="1"/>
  <c r="I179" i="1"/>
  <c r="P189" i="1"/>
  <c r="J189" i="1"/>
  <c r="I189" i="1"/>
  <c r="P170" i="1"/>
  <c r="J170" i="1"/>
  <c r="I170" i="1"/>
  <c r="P187" i="1"/>
  <c r="J187" i="1"/>
  <c r="I187" i="1"/>
  <c r="P174" i="1"/>
  <c r="J174" i="1"/>
  <c r="I174" i="1"/>
  <c r="K174" i="1" s="1"/>
  <c r="L174" i="1" s="1"/>
  <c r="N174" i="1" s="1"/>
  <c r="O174" i="1" s="1"/>
  <c r="P153" i="1"/>
  <c r="J153" i="1"/>
  <c r="I153" i="1"/>
  <c r="P118" i="1"/>
  <c r="J118" i="1"/>
  <c r="I118" i="1"/>
  <c r="K118" i="1" s="1"/>
  <c r="L118" i="1" s="1"/>
  <c r="N118" i="1" s="1"/>
  <c r="O118" i="1" s="1"/>
  <c r="P94" i="1"/>
  <c r="J94" i="1"/>
  <c r="I94" i="1"/>
  <c r="P28" i="1"/>
  <c r="J28" i="1"/>
  <c r="I28" i="1"/>
  <c r="P172" i="1"/>
  <c r="J172" i="1"/>
  <c r="I172" i="1"/>
  <c r="P171" i="1"/>
  <c r="J171" i="1"/>
  <c r="K171" i="1" s="1"/>
  <c r="L171" i="1" s="1"/>
  <c r="N171" i="1" s="1"/>
  <c r="O171" i="1" s="1"/>
  <c r="I171" i="1"/>
  <c r="P112" i="1"/>
  <c r="J112" i="1"/>
  <c r="I112" i="1"/>
  <c r="P176" i="1"/>
  <c r="J176" i="1"/>
  <c r="I176" i="1"/>
  <c r="K176" i="1" s="1"/>
  <c r="L176" i="1" s="1"/>
  <c r="N176" i="1" s="1"/>
  <c r="O176" i="1" s="1"/>
  <c r="P144" i="1"/>
  <c r="J144" i="1"/>
  <c r="I144" i="1"/>
  <c r="K144" i="1" s="1"/>
  <c r="L144" i="1" s="1"/>
  <c r="N144" i="1" s="1"/>
  <c r="O144" i="1" s="1"/>
  <c r="P81" i="1"/>
  <c r="J81" i="1"/>
  <c r="I81" i="1"/>
  <c r="K81" i="1" s="1"/>
  <c r="L81" i="1" s="1"/>
  <c r="N81" i="1" s="1"/>
  <c r="O81" i="1" s="1"/>
  <c r="P93" i="1"/>
  <c r="J93" i="1"/>
  <c r="I93" i="1"/>
  <c r="P22" i="1"/>
  <c r="J22" i="1"/>
  <c r="I22" i="1"/>
  <c r="K22" i="1" s="1"/>
  <c r="L22" i="1" s="1"/>
  <c r="N22" i="1" s="1"/>
  <c r="O22" i="1" s="1"/>
  <c r="P24" i="1"/>
  <c r="J24" i="1"/>
  <c r="I24" i="1"/>
  <c r="K24" i="1" s="1"/>
  <c r="L24" i="1" s="1"/>
  <c r="N24" i="1" s="1"/>
  <c r="O24" i="1" s="1"/>
  <c r="P27" i="1"/>
  <c r="J27" i="1"/>
  <c r="I27" i="1"/>
  <c r="P45" i="1"/>
  <c r="J45" i="1"/>
  <c r="I45" i="1"/>
  <c r="P106" i="1"/>
  <c r="J106" i="1"/>
  <c r="I106" i="1"/>
  <c r="K106" i="1" s="1"/>
  <c r="L106" i="1" s="1"/>
  <c r="N106" i="1" s="1"/>
  <c r="O106" i="1" s="1"/>
  <c r="P103" i="1"/>
  <c r="J103" i="1"/>
  <c r="I103" i="1"/>
  <c r="P120" i="1"/>
  <c r="J120" i="1"/>
  <c r="I120" i="1"/>
  <c r="P164" i="1"/>
  <c r="J164" i="1"/>
  <c r="I164" i="1"/>
  <c r="P55" i="1"/>
  <c r="J55" i="1"/>
  <c r="I55" i="1"/>
  <c r="P59" i="1"/>
  <c r="J59" i="1"/>
  <c r="I59" i="1"/>
  <c r="K59" i="1" s="1"/>
  <c r="L59" i="1" s="1"/>
  <c r="N59" i="1" s="1"/>
  <c r="O59" i="1" s="1"/>
  <c r="P102" i="1"/>
  <c r="J102" i="1"/>
  <c r="I102" i="1"/>
  <c r="P83" i="1"/>
  <c r="J83" i="1"/>
  <c r="I83" i="1"/>
  <c r="K83" i="1" s="1"/>
  <c r="L83" i="1" s="1"/>
  <c r="N83" i="1" s="1"/>
  <c r="O83" i="1" s="1"/>
  <c r="P146" i="1"/>
  <c r="J146" i="1"/>
  <c r="I146" i="1"/>
  <c r="K146" i="1" s="1"/>
  <c r="L146" i="1" s="1"/>
  <c r="N146" i="1" s="1"/>
  <c r="O146" i="1" s="1"/>
  <c r="P95" i="1"/>
  <c r="J95" i="1"/>
  <c r="I95" i="1"/>
  <c r="K95" i="1" s="1"/>
  <c r="L95" i="1" s="1"/>
  <c r="N95" i="1" s="1"/>
  <c r="O95" i="1" s="1"/>
  <c r="P132" i="1"/>
  <c r="J132" i="1"/>
  <c r="I132" i="1"/>
  <c r="K132" i="1" s="1"/>
  <c r="L132" i="1" s="1"/>
  <c r="N132" i="1" s="1"/>
  <c r="O132" i="1" s="1"/>
  <c r="P32" i="1"/>
  <c r="J32" i="1"/>
  <c r="I32" i="1"/>
  <c r="P165" i="1"/>
  <c r="J165" i="1"/>
  <c r="I165" i="1"/>
  <c r="K165" i="1" s="1"/>
  <c r="L165" i="1" s="1"/>
  <c r="N165" i="1" s="1"/>
  <c r="O165" i="1" s="1"/>
  <c r="P149" i="1"/>
  <c r="J149" i="1"/>
  <c r="I149" i="1"/>
  <c r="K149" i="1" s="1"/>
  <c r="L149" i="1" s="1"/>
  <c r="N149" i="1" s="1"/>
  <c r="O149" i="1" s="1"/>
  <c r="P130" i="1"/>
  <c r="J130" i="1"/>
  <c r="I130" i="1"/>
  <c r="P111" i="1"/>
  <c r="J111" i="1"/>
  <c r="I111" i="1"/>
  <c r="P29" i="1"/>
  <c r="J29" i="1"/>
  <c r="I29" i="1"/>
  <c r="K29" i="1" s="1"/>
  <c r="L29" i="1" s="1"/>
  <c r="N29" i="1" s="1"/>
  <c r="O29" i="1" s="1"/>
  <c r="P68" i="1"/>
  <c r="J68" i="1"/>
  <c r="I68" i="1"/>
  <c r="P10" i="1"/>
  <c r="J10" i="1"/>
  <c r="I10" i="1"/>
  <c r="P6" i="1"/>
  <c r="J6" i="1"/>
  <c r="I6" i="1"/>
  <c r="P26" i="1"/>
  <c r="J26" i="1"/>
  <c r="I26" i="1"/>
  <c r="K26" i="1" s="1"/>
  <c r="L26" i="1" s="1"/>
  <c r="N26" i="1" s="1"/>
  <c r="O26" i="1" s="1"/>
  <c r="P16" i="1"/>
  <c r="J16" i="1"/>
  <c r="I16" i="1"/>
  <c r="K16" i="1" s="1"/>
  <c r="L16" i="1" s="1"/>
  <c r="N16" i="1" s="1"/>
  <c r="O16" i="1" s="1"/>
  <c r="P38" i="1"/>
  <c r="J38" i="1"/>
  <c r="I38" i="1"/>
  <c r="K38" i="1" s="1"/>
  <c r="L38" i="1" s="1"/>
  <c r="N38" i="1" s="1"/>
  <c r="O38" i="1" s="1"/>
  <c r="P73" i="1"/>
  <c r="J73" i="1"/>
  <c r="I73" i="1"/>
  <c r="K73" i="1" s="1"/>
  <c r="L73" i="1" s="1"/>
  <c r="N73" i="1" s="1"/>
  <c r="O73" i="1" s="1"/>
  <c r="P36" i="1"/>
  <c r="J36" i="1"/>
  <c r="I36" i="1"/>
  <c r="P13" i="1"/>
  <c r="J13" i="1"/>
  <c r="I13" i="1"/>
  <c r="K13" i="1" s="1"/>
  <c r="L13" i="1" s="1"/>
  <c r="N13" i="1" s="1"/>
  <c r="O13" i="1" s="1"/>
  <c r="P82" i="1"/>
  <c r="J82" i="1"/>
  <c r="I82" i="1"/>
  <c r="P142" i="1"/>
  <c r="J142" i="1"/>
  <c r="I142" i="1"/>
  <c r="P168" i="1"/>
  <c r="J168" i="1"/>
  <c r="I168" i="1"/>
  <c r="K168" i="1" s="1"/>
  <c r="L168" i="1" s="1"/>
  <c r="N168" i="1" s="1"/>
  <c r="O168" i="1" s="1"/>
  <c r="P163" i="1"/>
  <c r="J163" i="1"/>
  <c r="I163" i="1"/>
  <c r="K163" i="1" s="1"/>
  <c r="L163" i="1" s="1"/>
  <c r="N163" i="1" s="1"/>
  <c r="O163" i="1" s="1"/>
  <c r="P141" i="1"/>
  <c r="J141" i="1"/>
  <c r="I141" i="1"/>
  <c r="P137" i="1"/>
  <c r="J137" i="1"/>
  <c r="I137" i="1"/>
  <c r="K137" i="1" s="1"/>
  <c r="L137" i="1" s="1"/>
  <c r="N137" i="1" s="1"/>
  <c r="O137" i="1" s="1"/>
  <c r="P186" i="1"/>
  <c r="J186" i="1"/>
  <c r="I186" i="1"/>
  <c r="K186" i="1" s="1"/>
  <c r="L186" i="1" s="1"/>
  <c r="N186" i="1" s="1"/>
  <c r="O186" i="1" s="1"/>
  <c r="P115" i="1"/>
  <c r="J115" i="1"/>
  <c r="I115" i="1"/>
  <c r="P185" i="1"/>
  <c r="J185" i="1"/>
  <c r="I185" i="1"/>
  <c r="P131" i="1"/>
  <c r="J131" i="1"/>
  <c r="I131" i="1"/>
  <c r="P129" i="1"/>
  <c r="J129" i="1"/>
  <c r="I129" i="1"/>
  <c r="P140" i="1"/>
  <c r="J140" i="1"/>
  <c r="I140" i="1"/>
  <c r="K140" i="1" s="1"/>
  <c r="L140" i="1" s="1"/>
  <c r="N140" i="1" s="1"/>
  <c r="O140" i="1" s="1"/>
  <c r="P183" i="1"/>
  <c r="J183" i="1"/>
  <c r="I183" i="1"/>
  <c r="K183" i="1" s="1"/>
  <c r="L183" i="1" s="1"/>
  <c r="N183" i="1" s="1"/>
  <c r="O183" i="1" s="1"/>
  <c r="P88" i="1"/>
  <c r="J88" i="1"/>
  <c r="I88" i="1"/>
  <c r="P101" i="1"/>
  <c r="J101" i="1"/>
  <c r="I101" i="1"/>
  <c r="P139" i="1"/>
  <c r="J139" i="1"/>
  <c r="I139" i="1"/>
  <c r="K139" i="1" s="1"/>
  <c r="L139" i="1" s="1"/>
  <c r="N139" i="1" s="1"/>
  <c r="O139" i="1" s="1"/>
  <c r="P43" i="1"/>
  <c r="J43" i="1"/>
  <c r="I43" i="1"/>
  <c r="K43" i="1" s="1"/>
  <c r="L43" i="1" s="1"/>
  <c r="N43" i="1" s="1"/>
  <c r="O43" i="1" s="1"/>
  <c r="P8" i="1"/>
  <c r="K8" i="1"/>
  <c r="L8" i="1" s="1"/>
  <c r="N8" i="1" s="1"/>
  <c r="O8" i="1" s="1"/>
  <c r="J8" i="1"/>
  <c r="I8" i="1"/>
  <c r="P71" i="1"/>
  <c r="J71" i="1"/>
  <c r="I71" i="1"/>
  <c r="K71" i="1" s="1"/>
  <c r="L71" i="1" s="1"/>
  <c r="N71" i="1" s="1"/>
  <c r="O71" i="1" s="1"/>
  <c r="P79" i="1"/>
  <c r="J79" i="1"/>
  <c r="I79" i="1"/>
  <c r="P58" i="1"/>
  <c r="J58" i="1"/>
  <c r="I58" i="1"/>
  <c r="P92" i="1"/>
  <c r="J92" i="1"/>
  <c r="I92" i="1"/>
  <c r="K92" i="1" s="1"/>
  <c r="L92" i="1" s="1"/>
  <c r="N92" i="1" s="1"/>
  <c r="O92" i="1" s="1"/>
  <c r="P57" i="1"/>
  <c r="J57" i="1"/>
  <c r="I57" i="1"/>
  <c r="P7" i="1"/>
  <c r="J7" i="1"/>
  <c r="I7" i="1"/>
  <c r="K7" i="1" s="1"/>
  <c r="L7" i="1" s="1"/>
  <c r="N7" i="1" s="1"/>
  <c r="O7" i="1" s="1"/>
  <c r="P18" i="1"/>
  <c r="J18" i="1"/>
  <c r="I18" i="1"/>
  <c r="K18" i="1" s="1"/>
  <c r="L18" i="1" s="1"/>
  <c r="N18" i="1" s="1"/>
  <c r="O18" i="1" s="1"/>
  <c r="P60" i="1"/>
  <c r="J60" i="1"/>
  <c r="I60" i="1"/>
  <c r="P175" i="1"/>
  <c r="J175" i="1"/>
  <c r="I175" i="1"/>
  <c r="P47" i="1"/>
  <c r="J47" i="1"/>
  <c r="I47" i="1"/>
  <c r="P72" i="1"/>
  <c r="J72" i="1"/>
  <c r="I72" i="1"/>
  <c r="P34" i="1"/>
  <c r="J34" i="1"/>
  <c r="I34" i="1"/>
  <c r="P46" i="1"/>
  <c r="J46" i="1"/>
  <c r="I46" i="1"/>
  <c r="K46" i="1" s="1"/>
  <c r="L46" i="1" s="1"/>
  <c r="N46" i="1" s="1"/>
  <c r="O46" i="1" s="1"/>
  <c r="P11" i="1"/>
  <c r="J11" i="1"/>
  <c r="I11" i="1"/>
  <c r="K11" i="1" s="1"/>
  <c r="L11" i="1" s="1"/>
  <c r="N11" i="1" s="1"/>
  <c r="O11" i="1" s="1"/>
  <c r="P97" i="1"/>
  <c r="J97" i="1"/>
  <c r="I97" i="1"/>
  <c r="K97" i="1" s="1"/>
  <c r="L97" i="1" s="1"/>
  <c r="N97" i="1" s="1"/>
  <c r="O97" i="1" s="1"/>
  <c r="P134" i="1"/>
  <c r="J134" i="1"/>
  <c r="I134" i="1"/>
  <c r="P56" i="1"/>
  <c r="J56" i="1"/>
  <c r="I56" i="1"/>
  <c r="P39" i="1"/>
  <c r="J39" i="1"/>
  <c r="I39" i="1"/>
  <c r="K39" i="1" s="1"/>
  <c r="L39" i="1" s="1"/>
  <c r="N39" i="1" s="1"/>
  <c r="O39" i="1" s="1"/>
  <c r="P151" i="1"/>
  <c r="J151" i="1"/>
  <c r="I151" i="1"/>
  <c r="P158" i="1"/>
  <c r="J158" i="1"/>
  <c r="I158" i="1"/>
  <c r="K158" i="1" s="1"/>
  <c r="L158" i="1" s="1"/>
  <c r="N158" i="1" s="1"/>
  <c r="O158" i="1" s="1"/>
  <c r="P108" i="1"/>
  <c r="J108" i="1"/>
  <c r="I108" i="1"/>
  <c r="K108" i="1" s="1"/>
  <c r="L108" i="1" s="1"/>
  <c r="N108" i="1" s="1"/>
  <c r="O108" i="1" s="1"/>
  <c r="P91" i="1"/>
  <c r="J91" i="1"/>
  <c r="I91" i="1"/>
  <c r="K91" i="1" s="1"/>
  <c r="L91" i="1" s="1"/>
  <c r="N91" i="1" s="1"/>
  <c r="O91" i="1" s="1"/>
  <c r="P17" i="1"/>
  <c r="J17" i="1"/>
  <c r="I17" i="1"/>
  <c r="P51" i="1"/>
  <c r="J51" i="1"/>
  <c r="I51" i="1"/>
  <c r="P157" i="1"/>
  <c r="J157" i="1"/>
  <c r="K157" i="1" s="1"/>
  <c r="L157" i="1" s="1"/>
  <c r="N157" i="1" s="1"/>
  <c r="O157" i="1" s="1"/>
  <c r="I157" i="1"/>
  <c r="P21" i="1"/>
  <c r="J21" i="1"/>
  <c r="I21" i="1"/>
  <c r="P19" i="1"/>
  <c r="J19" i="1"/>
  <c r="I19" i="1"/>
  <c r="P15" i="1"/>
  <c r="J15" i="1"/>
  <c r="I15" i="1"/>
  <c r="P42" i="1"/>
  <c r="J42" i="1"/>
  <c r="I42" i="1"/>
  <c r="P135" i="1"/>
  <c r="J135" i="1"/>
  <c r="I135" i="1"/>
  <c r="P14" i="1"/>
  <c r="J14" i="1"/>
  <c r="I14" i="1"/>
  <c r="K14" i="1" s="1"/>
  <c r="L14" i="1" s="1"/>
  <c r="N14" i="1" s="1"/>
  <c r="O14" i="1" s="1"/>
  <c r="P156" i="1"/>
  <c r="J156" i="1"/>
  <c r="I156" i="1"/>
  <c r="P12" i="1"/>
  <c r="J12" i="1"/>
  <c r="I12" i="1"/>
  <c r="P86" i="1"/>
  <c r="J86" i="1"/>
  <c r="I86" i="1"/>
  <c r="K86" i="1" s="1"/>
  <c r="L86" i="1" s="1"/>
  <c r="N86" i="1" s="1"/>
  <c r="O86" i="1" s="1"/>
  <c r="P30" i="1"/>
  <c r="J30" i="1"/>
  <c r="I30" i="1"/>
  <c r="P37" i="1"/>
  <c r="J37" i="1"/>
  <c r="I37" i="1"/>
  <c r="K37" i="1" s="1"/>
  <c r="L37" i="1" s="1"/>
  <c r="N37" i="1" s="1"/>
  <c r="O37" i="1" s="1"/>
  <c r="P52" i="1"/>
  <c r="J52" i="1"/>
  <c r="I52" i="1"/>
  <c r="P125" i="1"/>
  <c r="J125" i="1"/>
  <c r="I125" i="1"/>
  <c r="P152" i="1"/>
  <c r="J152" i="1"/>
  <c r="I152" i="1"/>
  <c r="K152" i="1" s="1"/>
  <c r="L152" i="1" s="1"/>
  <c r="N152" i="1" s="1"/>
  <c r="O152" i="1" s="1"/>
  <c r="P99" i="1"/>
  <c r="J99" i="1"/>
  <c r="I99" i="1"/>
  <c r="P53" i="1"/>
  <c r="J53" i="1"/>
  <c r="I53" i="1"/>
  <c r="K130" i="1" l="1"/>
  <c r="L130" i="1" s="1"/>
  <c r="N130" i="1" s="1"/>
  <c r="O130" i="1" s="1"/>
  <c r="K27" i="1"/>
  <c r="L27" i="1" s="1"/>
  <c r="N27" i="1" s="1"/>
  <c r="O27" i="1" s="1"/>
  <c r="K77" i="1"/>
  <c r="L77" i="1" s="1"/>
  <c r="N77" i="1" s="1"/>
  <c r="O77" i="1" s="1"/>
  <c r="K90" i="1"/>
  <c r="L90" i="1" s="1"/>
  <c r="N90" i="1" s="1"/>
  <c r="O90" i="1" s="1"/>
  <c r="K121" i="1"/>
  <c r="L121" i="1" s="1"/>
  <c r="N121" i="1" s="1"/>
  <c r="O121" i="1" s="1"/>
  <c r="K9" i="1"/>
  <c r="L9" i="1" s="1"/>
  <c r="N9" i="1" s="1"/>
  <c r="O9" i="1" s="1"/>
  <c r="K170" i="1"/>
  <c r="L170" i="1" s="1"/>
  <c r="N170" i="1" s="1"/>
  <c r="O170" i="1" s="1"/>
  <c r="K33" i="1"/>
  <c r="L33" i="1" s="1"/>
  <c r="N33" i="1" s="1"/>
  <c r="O33" i="1" s="1"/>
  <c r="K65" i="1"/>
  <c r="L65" i="1" s="1"/>
  <c r="N65" i="1" s="1"/>
  <c r="O65" i="1" s="1"/>
  <c r="K125" i="1"/>
  <c r="L125" i="1" s="1"/>
  <c r="N125" i="1" s="1"/>
  <c r="O125" i="1" s="1"/>
  <c r="K56" i="1"/>
  <c r="L56" i="1" s="1"/>
  <c r="N56" i="1" s="1"/>
  <c r="O56" i="1" s="1"/>
  <c r="K185" i="1"/>
  <c r="L185" i="1" s="1"/>
  <c r="N185" i="1" s="1"/>
  <c r="O185" i="1" s="1"/>
  <c r="K10" i="1"/>
  <c r="L10" i="1" s="1"/>
  <c r="N10" i="1" s="1"/>
  <c r="O10" i="1" s="1"/>
  <c r="K120" i="1"/>
  <c r="L120" i="1" s="1"/>
  <c r="N120" i="1" s="1"/>
  <c r="O120" i="1" s="1"/>
  <c r="K189" i="1"/>
  <c r="L189" i="1" s="1"/>
  <c r="N189" i="1" s="1"/>
  <c r="O189" i="1" s="1"/>
  <c r="K184" i="1"/>
  <c r="L184" i="1" s="1"/>
  <c r="N184" i="1" s="1"/>
  <c r="O184" i="1" s="1"/>
  <c r="K166" i="1"/>
  <c r="L166" i="1" s="1"/>
  <c r="N166" i="1" s="1"/>
  <c r="O166" i="1" s="1"/>
  <c r="K70" i="1"/>
  <c r="L70" i="1" s="1"/>
  <c r="N70" i="1" s="1"/>
  <c r="O70" i="1" s="1"/>
  <c r="K147" i="1"/>
  <c r="L147" i="1" s="1"/>
  <c r="N147" i="1" s="1"/>
  <c r="O147" i="1" s="1"/>
  <c r="K172" i="1"/>
  <c r="L172" i="1" s="1"/>
  <c r="N172" i="1" s="1"/>
  <c r="O172" i="1" s="1"/>
  <c r="K127" i="1"/>
  <c r="L127" i="1" s="1"/>
  <c r="N127" i="1" s="1"/>
  <c r="O127" i="1" s="1"/>
  <c r="K51" i="1"/>
  <c r="L51" i="1" s="1"/>
  <c r="N51" i="1" s="1"/>
  <c r="O51" i="1" s="1"/>
  <c r="K112" i="1"/>
  <c r="L112" i="1" s="1"/>
  <c r="N112" i="1" s="1"/>
  <c r="O112" i="1" s="1"/>
  <c r="K188" i="1"/>
  <c r="L188" i="1" s="1"/>
  <c r="N188" i="1" s="1"/>
  <c r="O188" i="1" s="1"/>
  <c r="K124" i="1"/>
  <c r="L124" i="1" s="1"/>
  <c r="N124" i="1" s="1"/>
  <c r="O124" i="1" s="1"/>
  <c r="K64" i="1"/>
  <c r="L64" i="1" s="1"/>
  <c r="N64" i="1" s="1"/>
  <c r="O64" i="1" s="1"/>
  <c r="K117" i="1"/>
  <c r="L117" i="1" s="1"/>
  <c r="N117" i="1" s="1"/>
  <c r="O117" i="1" s="1"/>
  <c r="K47" i="1"/>
  <c r="L47" i="1" s="1"/>
  <c r="N47" i="1" s="1"/>
  <c r="O47" i="1" s="1"/>
  <c r="K82" i="1"/>
  <c r="L82" i="1" s="1"/>
  <c r="N82" i="1" s="1"/>
  <c r="O82" i="1" s="1"/>
  <c r="K52" i="1"/>
  <c r="L52" i="1" s="1"/>
  <c r="N52" i="1" s="1"/>
  <c r="O52" i="1" s="1"/>
  <c r="K156" i="1"/>
  <c r="L156" i="1" s="1"/>
  <c r="N156" i="1" s="1"/>
  <c r="O156" i="1" s="1"/>
  <c r="K134" i="1"/>
  <c r="L134" i="1" s="1"/>
  <c r="N134" i="1" s="1"/>
  <c r="O134" i="1" s="1"/>
  <c r="K115" i="1"/>
  <c r="L115" i="1" s="1"/>
  <c r="N115" i="1" s="1"/>
  <c r="O115" i="1" s="1"/>
  <c r="K103" i="1"/>
  <c r="L103" i="1" s="1"/>
  <c r="N103" i="1" s="1"/>
  <c r="O103" i="1" s="1"/>
  <c r="K179" i="1"/>
  <c r="L179" i="1" s="1"/>
  <c r="N179" i="1" s="1"/>
  <c r="O179" i="1" s="1"/>
  <c r="K126" i="1"/>
  <c r="L126" i="1" s="1"/>
  <c r="N126" i="1" s="1"/>
  <c r="O126" i="1" s="1"/>
  <c r="K67" i="1"/>
  <c r="L67" i="1" s="1"/>
  <c r="N67" i="1" s="1"/>
  <c r="O67" i="1" s="1"/>
  <c r="K49" i="1"/>
  <c r="L49" i="1" s="1"/>
  <c r="N49" i="1" s="1"/>
  <c r="O49" i="1" s="1"/>
  <c r="K177" i="1"/>
  <c r="L177" i="1" s="1"/>
  <c r="N177" i="1" s="1"/>
  <c r="O177" i="1" s="1"/>
  <c r="K6" i="1"/>
  <c r="L6" i="1" s="1"/>
  <c r="N6" i="1" s="1"/>
  <c r="O6" i="1" s="1"/>
  <c r="K21" i="1"/>
  <c r="L21" i="1" s="1"/>
  <c r="N21" i="1" s="1"/>
  <c r="O21" i="1" s="1"/>
  <c r="K57" i="1"/>
  <c r="L57" i="1" s="1"/>
  <c r="N57" i="1" s="1"/>
  <c r="O57" i="1" s="1"/>
  <c r="K142" i="1"/>
  <c r="L142" i="1" s="1"/>
  <c r="N142" i="1" s="1"/>
  <c r="O142" i="1" s="1"/>
  <c r="K32" i="1"/>
  <c r="L32" i="1" s="1"/>
  <c r="N32" i="1" s="1"/>
  <c r="O32" i="1" s="1"/>
  <c r="K93" i="1"/>
  <c r="L93" i="1" s="1"/>
  <c r="N93" i="1" s="1"/>
  <c r="O93" i="1" s="1"/>
  <c r="K104" i="1"/>
  <c r="L104" i="1" s="1"/>
  <c r="N104" i="1" s="1"/>
  <c r="O104" i="1" s="1"/>
  <c r="K133" i="1"/>
  <c r="L133" i="1" s="1"/>
  <c r="N133" i="1" s="1"/>
  <c r="O133" i="1" s="1"/>
  <c r="K135" i="1"/>
  <c r="L135" i="1" s="1"/>
  <c r="N135" i="1" s="1"/>
  <c r="O135" i="1" s="1"/>
  <c r="K79" i="1"/>
  <c r="L79" i="1" s="1"/>
  <c r="N79" i="1" s="1"/>
  <c r="O79" i="1" s="1"/>
  <c r="K94" i="1"/>
  <c r="L94" i="1" s="1"/>
  <c r="N94" i="1" s="1"/>
  <c r="O94" i="1" s="1"/>
  <c r="K74" i="1"/>
  <c r="L74" i="1" s="1"/>
  <c r="N74" i="1" s="1"/>
  <c r="O74" i="1" s="1"/>
  <c r="K89" i="1"/>
  <c r="L89" i="1" s="1"/>
  <c r="N89" i="1" s="1"/>
  <c r="O89" i="1" s="1"/>
  <c r="K110" i="1"/>
  <c r="L110" i="1" s="1"/>
  <c r="N110" i="1" s="1"/>
  <c r="O110" i="1" s="1"/>
  <c r="K53" i="1"/>
  <c r="L53" i="1" s="1"/>
  <c r="N53" i="1" s="1"/>
  <c r="O53" i="1" s="1"/>
  <c r="K141" i="1"/>
  <c r="L141" i="1" s="1"/>
  <c r="N141" i="1" s="1"/>
  <c r="O141" i="1" s="1"/>
  <c r="K60" i="1"/>
  <c r="L60" i="1" s="1"/>
  <c r="N60" i="1" s="1"/>
  <c r="O60" i="1" s="1"/>
  <c r="K155" i="1"/>
  <c r="L155" i="1" s="1"/>
  <c r="N155" i="1" s="1"/>
  <c r="O155" i="1" s="1"/>
  <c r="K102" i="1"/>
  <c r="L102" i="1" s="1"/>
  <c r="N102" i="1" s="1"/>
  <c r="O102" i="1" s="1"/>
  <c r="K40" i="1"/>
  <c r="L40" i="1" s="1"/>
  <c r="N40" i="1" s="1"/>
  <c r="O40" i="1" s="1"/>
  <c r="K72" i="1"/>
  <c r="L72" i="1" s="1"/>
  <c r="N72" i="1" s="1"/>
  <c r="O72" i="1" s="1"/>
  <c r="K175" i="1"/>
  <c r="L175" i="1" s="1"/>
  <c r="N175" i="1" s="1"/>
  <c r="O175" i="1" s="1"/>
  <c r="K28" i="1"/>
  <c r="L28" i="1" s="1"/>
  <c r="N28" i="1" s="1"/>
  <c r="O28" i="1" s="1"/>
  <c r="K100" i="1"/>
  <c r="L100" i="1" s="1"/>
  <c r="N100" i="1" s="1"/>
  <c r="O100" i="1" s="1"/>
  <c r="K58" i="1"/>
  <c r="L58" i="1" s="1"/>
  <c r="N58" i="1" s="1"/>
  <c r="O58" i="1" s="1"/>
  <c r="K169" i="1"/>
  <c r="L169" i="1" s="1"/>
  <c r="N169" i="1" s="1"/>
  <c r="O169" i="1" s="1"/>
  <c r="K107" i="1"/>
  <c r="L107" i="1" s="1"/>
  <c r="N107" i="1" s="1"/>
  <c r="O107" i="1" s="1"/>
  <c r="K42" i="1"/>
  <c r="L42" i="1" s="1"/>
  <c r="N42" i="1" s="1"/>
  <c r="O42" i="1" s="1"/>
  <c r="K101" i="1"/>
  <c r="L101" i="1" s="1"/>
  <c r="N101" i="1" s="1"/>
  <c r="O101" i="1" s="1"/>
  <c r="K55" i="1"/>
  <c r="L55" i="1" s="1"/>
  <c r="N55" i="1" s="1"/>
  <c r="O55" i="1" s="1"/>
  <c r="K45" i="1"/>
  <c r="L45" i="1" s="1"/>
  <c r="N45" i="1" s="1"/>
  <c r="O45" i="1" s="1"/>
  <c r="K138" i="1"/>
  <c r="L138" i="1" s="1"/>
  <c r="N138" i="1" s="1"/>
  <c r="O138" i="1" s="1"/>
  <c r="K66" i="1"/>
  <c r="L66" i="1" s="1"/>
  <c r="N66" i="1" s="1"/>
  <c r="O66" i="1" s="1"/>
  <c r="K54" i="1"/>
  <c r="L54" i="1" s="1"/>
  <c r="N54" i="1" s="1"/>
  <c r="O54" i="1" s="1"/>
  <c r="K31" i="1"/>
  <c r="L31" i="1" s="1"/>
  <c r="N31" i="1" s="1"/>
  <c r="O31" i="1" s="1"/>
  <c r="K19" i="1"/>
  <c r="L19" i="1" s="1"/>
  <c r="N19" i="1" s="1"/>
  <c r="O19" i="1" s="1"/>
  <c r="K99" i="1"/>
  <c r="L99" i="1" s="1"/>
  <c r="N99" i="1" s="1"/>
  <c r="O99" i="1" s="1"/>
  <c r="K41" i="1"/>
  <c r="L41" i="1" s="1"/>
  <c r="N41" i="1" s="1"/>
  <c r="O41" i="1" s="1"/>
  <c r="K111" i="1"/>
  <c r="L111" i="1" s="1"/>
  <c r="N111" i="1" s="1"/>
  <c r="O111" i="1" s="1"/>
  <c r="K187" i="1"/>
  <c r="L187" i="1" s="1"/>
  <c r="N187" i="1" s="1"/>
  <c r="O187" i="1" s="1"/>
  <c r="K30" i="1"/>
  <c r="L30" i="1" s="1"/>
  <c r="N30" i="1" s="1"/>
  <c r="O30" i="1" s="1"/>
  <c r="K129" i="1"/>
  <c r="L129" i="1" s="1"/>
  <c r="N129" i="1" s="1"/>
  <c r="O129" i="1" s="1"/>
  <c r="K131" i="1"/>
  <c r="L131" i="1" s="1"/>
  <c r="N131" i="1" s="1"/>
  <c r="O131" i="1" s="1"/>
  <c r="K15" i="1"/>
  <c r="L15" i="1" s="1"/>
  <c r="N15" i="1" s="1"/>
  <c r="O15" i="1" s="1"/>
  <c r="K17" i="1"/>
  <c r="L17" i="1" s="1"/>
  <c r="N17" i="1" s="1"/>
  <c r="O17" i="1" s="1"/>
  <c r="K151" i="1"/>
  <c r="L151" i="1" s="1"/>
  <c r="N151" i="1" s="1"/>
  <c r="O151" i="1" s="1"/>
  <c r="K88" i="1"/>
  <c r="L88" i="1" s="1"/>
  <c r="N88" i="1" s="1"/>
  <c r="O88" i="1" s="1"/>
  <c r="K68" i="1"/>
  <c r="L68" i="1" s="1"/>
  <c r="N68" i="1" s="1"/>
  <c r="O68" i="1" s="1"/>
  <c r="K164" i="1"/>
  <c r="L164" i="1" s="1"/>
  <c r="N164" i="1" s="1"/>
  <c r="O164" i="1" s="1"/>
  <c r="K153" i="1"/>
  <c r="L153" i="1" s="1"/>
  <c r="N153" i="1" s="1"/>
  <c r="O153" i="1" s="1"/>
  <c r="K96" i="1"/>
  <c r="L96" i="1" s="1"/>
  <c r="N96" i="1" s="1"/>
  <c r="O96" i="1" s="1"/>
  <c r="K148" i="1"/>
  <c r="L148" i="1" s="1"/>
  <c r="N148" i="1" s="1"/>
  <c r="O148" i="1" s="1"/>
  <c r="K122" i="1"/>
  <c r="L122" i="1" s="1"/>
  <c r="N122" i="1" s="1"/>
  <c r="O122" i="1" s="1"/>
  <c r="K36" i="1"/>
  <c r="L36" i="1" s="1"/>
  <c r="N36" i="1" s="1"/>
  <c r="O36" i="1" s="1"/>
  <c r="K12" i="1"/>
  <c r="L12" i="1" s="1"/>
  <c r="N12" i="1" s="1"/>
  <c r="O12" i="1" s="1"/>
  <c r="K109" i="1"/>
  <c r="L109" i="1" s="1"/>
  <c r="N109" i="1" s="1"/>
  <c r="O109" i="1" s="1"/>
  <c r="K34" i="1"/>
  <c r="L34" i="1" s="1"/>
  <c r="N34" i="1" s="1"/>
  <c r="O34" i="1" s="1"/>
</calcChain>
</file>

<file path=xl/sharedStrings.xml><?xml version="1.0" encoding="utf-8"?>
<sst xmlns="http://schemas.openxmlformats.org/spreadsheetml/2006/main" count="970" uniqueCount="441">
  <si>
    <t>Wielerpool - PCS-prijsmodel</t>
  </si>
  <si>
    <t>Bijgewerkt op 20-08-2026 met de actuele Vuelta-startlijst en PCS-profielscores.</t>
  </si>
  <si>
    <t>Renner</t>
  </si>
  <si>
    <t>Ploeg</t>
  </si>
  <si>
    <t>Jongere?</t>
  </si>
  <si>
    <t>Verwachte rol</t>
  </si>
  <si>
    <t>Algemeen (GC)</t>
  </si>
  <si>
    <t>Punten (Sprint + Oneday)</t>
  </si>
  <si>
    <t>Berg (Climber)</t>
  </si>
  <si>
    <t>TT</t>
  </si>
  <si>
    <t>Rolscore</t>
  </si>
  <si>
    <t>Jongerenscore</t>
  </si>
  <si>
    <t>Gewogen score</t>
  </si>
  <si>
    <t>Modelprijs</t>
  </si>
  <si>
    <t>Handmatige correctie</t>
  </si>
  <si>
    <t>Definitieve BC-prijs</t>
  </si>
  <si>
    <t>Prijsklasse</t>
  </si>
  <si>
    <t>Invoercontrole</t>
  </si>
  <si>
    <t>PCS-profiel</t>
  </si>
  <si>
    <t>HOULE Hugo</t>
  </si>
  <si>
    <t>Alpecin - Premier Tech</t>
  </si>
  <si>
    <t>Nee</t>
  </si>
  <si>
    <t>Kopman AK</t>
  </si>
  <si>
    <t>https://www.procyclingstats.com/rider/hugo-houle</t>
  </si>
  <si>
    <t>GLIVAR Gal</t>
  </si>
  <si>
    <t>Ja</t>
  </si>
  <si>
    <t>Knecht</t>
  </si>
  <si>
    <t>https://www.procyclingstats.com/rider/gal-glivar</t>
  </si>
  <si>
    <t>MIQUEL Pau</t>
  </si>
  <si>
    <t>Bahrain - Victorious</t>
  </si>
  <si>
    <t>Meesterknecht</t>
  </si>
  <si>
    <t>https://www.procyclingstats.com/rider/pau-miquel-delgado</t>
  </si>
  <si>
    <t>ERMAKOV Roman</t>
  </si>
  <si>
    <t>https://www.procyclingstats.com/rider/roman-ermakov</t>
  </si>
  <si>
    <t>BUITRAGO Santiago</t>
  </si>
  <si>
    <t>Vrijbuiter</t>
  </si>
  <si>
    <t>https://www.procyclingstats.com/rider/santiago-buitrago-sanchez</t>
  </si>
  <si>
    <t>RICCITELLO Matthew</t>
  </si>
  <si>
    <t>Decathlon CMA CGM Team</t>
  </si>
  <si>
    <t>https://www.procyclingstats.com/rider/matthew-riccitello</t>
  </si>
  <si>
    <t>GALL Felix</t>
  </si>
  <si>
    <t>https://www.procyclingstats.com/rider/felix-gall</t>
  </si>
  <si>
    <t>BISIAUX Léo</t>
  </si>
  <si>
    <t>https://www.procyclingstats.com/rider/leo-bisiaux</t>
  </si>
  <si>
    <t>CARAPAZ Richard</t>
  </si>
  <si>
    <t>EF Education - EasyPost</t>
  </si>
  <si>
    <t>https://www.procyclingstats.com/rider/richard-carapaz</t>
  </si>
  <si>
    <t>SHAW James</t>
  </si>
  <si>
    <t>https://www.procyclingstats.com/rider/james-shaw</t>
  </si>
  <si>
    <t>MARTIN Guillaume</t>
  </si>
  <si>
    <t>Groupama - FDJ United</t>
  </si>
  <si>
    <t>https://www.procyclingstats.com/rider/guillaume-martin</t>
  </si>
  <si>
    <t>BERTHET Clément</t>
  </si>
  <si>
    <t>https://www.procyclingstats.com/rider/clement-berthet</t>
  </si>
  <si>
    <t>MOLARD Rudy</t>
  </si>
  <si>
    <t>https://www.procyclingstats.com/rider/rudy-molard</t>
  </si>
  <si>
    <t>RODRÍGUEZ Carlos</t>
  </si>
  <si>
    <t>Netcompany INEOS</t>
  </si>
  <si>
    <t>https://www.procyclingstats.com/rider/carlos-rodriguez-cano</t>
  </si>
  <si>
    <t>ONLEY Oscar</t>
  </si>
  <si>
    <t>https://www.procyclingstats.com/rider/oscar-onley</t>
  </si>
  <si>
    <t>SKJELMOSE Mattias</t>
  </si>
  <si>
    <t>Lidl - Trek</t>
  </si>
  <si>
    <t>https://www.procyclingstats.com/rider/mattias-skjelmose-jensen</t>
  </si>
  <si>
    <t>SUNEKÆR NORSGAARD Mathias</t>
  </si>
  <si>
    <t>Lead-out</t>
  </si>
  <si>
    <t>https://www.procyclingstats.com/rider/mathias-norsgaard</t>
  </si>
  <si>
    <t>NYS Thibau</t>
  </si>
  <si>
    <t>https://www.procyclingstats.com/rider/thibau-nys</t>
  </si>
  <si>
    <t>PEDERSEN Mads</t>
  </si>
  <si>
    <t>Kopman punten</t>
  </si>
  <si>
    <t>https://www.procyclingstats.com/rider/mads-pedersen</t>
  </si>
  <si>
    <t>WIDAR Jarno</t>
  </si>
  <si>
    <t>Lotto Intermarché</t>
  </si>
  <si>
    <t>https://www.procyclingstats.com/rider/jarno-widar</t>
  </si>
  <si>
    <t>CRAPS Lars</t>
  </si>
  <si>
    <t>https://www.procyclingstats.com/rider/lars-craps</t>
  </si>
  <si>
    <t>VAN BOVEN Luca</t>
  </si>
  <si>
    <t>https://www.procyclingstats.com/rider/luca-van-boven</t>
  </si>
  <si>
    <t>BRAET Vito</t>
  </si>
  <si>
    <t>https://www.procyclingstats.com/rider/vito-braet</t>
  </si>
  <si>
    <t>DE SCHUYTENEER Steffen</t>
  </si>
  <si>
    <t>Sprinter</t>
  </si>
  <si>
    <t>https://www.procyclingstats.com/rider/steffen-de-schuyteneer</t>
  </si>
  <si>
    <t>ROTA Lorenzo</t>
  </si>
  <si>
    <t>https://www.procyclingstats.com/rider/lorenzo-rota</t>
  </si>
  <si>
    <t>VAN SINTMAARTENSDIJK Roel</t>
  </si>
  <si>
    <t>Onzeker</t>
  </si>
  <si>
    <t>https://www.procyclingstats.com/rider/roel-van-sintmaartensdijk</t>
  </si>
  <si>
    <t>THOMPSON Reuben</t>
  </si>
  <si>
    <t>https://www.procyclingstats.com/rider/reuben-thompson</t>
  </si>
  <si>
    <t>MAS Enric</t>
  </si>
  <si>
    <t>Movistar Team</t>
  </si>
  <si>
    <t>https://www.procyclingstats.com/rider/enric-mas</t>
  </si>
  <si>
    <t>ROMEO Iván</t>
  </si>
  <si>
    <t>https://www.procyclingstats.com/rider/ivan-romeo</t>
  </si>
  <si>
    <t>UIJTDEBROEKS Cian</t>
  </si>
  <si>
    <t>https://www.procyclingstats.com/rider/cian-uijtdebroeks</t>
  </si>
  <si>
    <t>GARCÍA PIERNA Raúl</t>
  </si>
  <si>
    <t>https://www.procyclingstats.com/rider/raul-garcia-pierna</t>
  </si>
  <si>
    <t>CASTRILLO Pablo</t>
  </si>
  <si>
    <t>https://www.procyclingstats.com/rider/pablo-castrillo-zapater</t>
  </si>
  <si>
    <t>ARCAS Jorge</t>
  </si>
  <si>
    <t>https://www.procyclingstats.com/rider/jorge-arcas</t>
  </si>
  <si>
    <t>HIRT Jan</t>
  </si>
  <si>
    <t>NSN Cycling Team</t>
  </si>
  <si>
    <t>https://www.procyclingstats.com/rider/jan-hirt</t>
  </si>
  <si>
    <t>LUTSENKO Alexey</t>
  </si>
  <si>
    <t>https://www.procyclingstats.com/rider/aleksey-lutsenko</t>
  </si>
  <si>
    <t>ROGLIČ Primož</t>
  </si>
  <si>
    <t>Red Bull - BORA - hansgrohe</t>
  </si>
  <si>
    <t>https://www.procyclingstats.com/rider/primoz-roglic</t>
  </si>
  <si>
    <t>VERMEERSCH Gianni</t>
  </si>
  <si>
    <t>https://www.procyclingstats.com/rider/gianni-vermeersch</t>
  </si>
  <si>
    <t>TUCKWELL Luke</t>
  </si>
  <si>
    <t>https://www.procyclingstats.com/rider/luke-tuckwell</t>
  </si>
  <si>
    <t>HAYTER Ethan</t>
  </si>
  <si>
    <t>Soudal Quick-Step</t>
  </si>
  <si>
    <t>https://www.procyclingstats.com/rider/ethan-hayter</t>
  </si>
  <si>
    <t>ZANA Filippo</t>
  </si>
  <si>
    <t>https://www.procyclingstats.com/rider/filippo-zana</t>
  </si>
  <si>
    <t>DAINESE Alberto</t>
  </si>
  <si>
    <t>https://www.procyclingstats.com/rider/alberto-dainese</t>
  </si>
  <si>
    <t>LANDA Mikel</t>
  </si>
  <si>
    <t>https://www.procyclingstats.com/rider/mikel-landa</t>
  </si>
  <si>
    <t>PARET-PEINTRE Valentin</t>
  </si>
  <si>
    <t>https://www.procyclingstats.com/rider/valentin-paret-peintre</t>
  </si>
  <si>
    <t>DOUBLE Paul</t>
  </si>
  <si>
    <t>Team Jayco AlUla</t>
  </si>
  <si>
    <t>https://www.procyclingstats.com/rider/paul-double</t>
  </si>
  <si>
    <t>PICKERING Finlay</t>
  </si>
  <si>
    <t>https://www.procyclingstats.com/rider/finlay-pickering</t>
  </si>
  <si>
    <t>COVI Alessandro</t>
  </si>
  <si>
    <t>https://www.procyclingstats.com/rider/alessandro-covi</t>
  </si>
  <si>
    <t>HELLEMOSE Asbjørn</t>
  </si>
  <si>
    <t>https://www.procyclingstats.com/rider/asbjorn-hellemose</t>
  </si>
  <si>
    <t>SÜTTERLIN Jasha</t>
  </si>
  <si>
    <t>https://www.procyclingstats.com/rider/jasha-sutterlin</t>
  </si>
  <si>
    <t>MCKENZIE Hamish</t>
  </si>
  <si>
    <t>https://www.procyclingstats.com/rider/hamish-mckenzie</t>
  </si>
  <si>
    <t>BOUWMAN Koen</t>
  </si>
  <si>
    <t>https://www.procyclingstats.com/rider/koen-bouwman</t>
  </si>
  <si>
    <t>PORTER Rudy</t>
  </si>
  <si>
    <t>https://www.procyclingstats.com/rider/rudy-porter</t>
  </si>
  <si>
    <t>MARTINEZ Juan Guillermo</t>
  </si>
  <si>
    <t>Team Picnic PostNL</t>
  </si>
  <si>
    <t>https://www.procyclingstats.com/rider/guillermo-juan-martinez</t>
  </si>
  <si>
    <t>GAFFURI Mattia</t>
  </si>
  <si>
    <t>https://www.procyclingstats.com/rider/mattia-gaffuri</t>
  </si>
  <si>
    <t>HAMILTON Chris</t>
  </si>
  <si>
    <t>https://www.procyclingstats.com/rider/chris-hamilton</t>
  </si>
  <si>
    <t>RENARD-HAQUIN Henri-François</t>
  </si>
  <si>
    <t>https://www.procyclingstats.com/rider/henri-francois-renard-haquin</t>
  </si>
  <si>
    <t>DE JONG Timo</t>
  </si>
  <si>
    <t>https://www.procyclingstats.com/rider/timo-de-jong</t>
  </si>
  <si>
    <t>LEEMREIZE Gijs</t>
  </si>
  <si>
    <t>https://www.procyclingstats.com/rider/gijs-leemreize</t>
  </si>
  <si>
    <t>PEACE Oliver</t>
  </si>
  <si>
    <t>https://www.procyclingstats.com/rider/oliver-peace</t>
  </si>
  <si>
    <t>ROOSEN Timo</t>
  </si>
  <si>
    <t>https://www.procyclingstats.com/rider/timo-roosen</t>
  </si>
  <si>
    <t>VAN AERT Wout</t>
  </si>
  <si>
    <t>Team Visma | Lease a Bike</t>
  </si>
  <si>
    <t>https://www.procyclingstats.com/rider/wout-van-aert</t>
  </si>
  <si>
    <t>BRENNAN Matthew</t>
  </si>
  <si>
    <t>https://www.procyclingstats.com/rider/matthew-brennan</t>
  </si>
  <si>
    <t>NORDHAGEN Jørgen</t>
  </si>
  <si>
    <t>https://www.procyclingstats.com/rider/jorgen-nordhagen</t>
  </si>
  <si>
    <t>TULETT Ben</t>
  </si>
  <si>
    <t>https://www.procyclingstats.com/rider/ben-tulett</t>
  </si>
  <si>
    <t>KRUIJSWIJK Steven</t>
  </si>
  <si>
    <t>https://www.procyclingstats.com/rider/steven-kruijswijk</t>
  </si>
  <si>
    <t>LAPORTE Christophe</t>
  </si>
  <si>
    <t>https://www.procyclingstats.com/rider/christophe-laporte</t>
  </si>
  <si>
    <t>POGAČAR Tadej</t>
  </si>
  <si>
    <t>UAE Team Emirates - XRG</t>
  </si>
  <si>
    <t>https://www.procyclingstats.com/rider/tadej-pogacar</t>
  </si>
  <si>
    <t>ALMEIDA João</t>
  </si>
  <si>
    <t>https://www.procyclingstats.com/rider/joao-almeida</t>
  </si>
  <si>
    <t>VINE Jay</t>
  </si>
  <si>
    <t>https://www.procyclingstats.com/rider/jay-vine</t>
  </si>
  <si>
    <t>SIVAKOV Pavel</t>
  </si>
  <si>
    <t>https://www.procyclingstats.com/rider/pavel-sivakov</t>
  </si>
  <si>
    <t>TORRES Pablo</t>
  </si>
  <si>
    <t>https://www.procyclingstats.com/rider/pablo-torres-arias</t>
  </si>
  <si>
    <t>VERMAERKE Kevin</t>
  </si>
  <si>
    <t>https://www.procyclingstats.com/rider/kevin-vermaerke</t>
  </si>
  <si>
    <t>OLIVEIRA Ivo</t>
  </si>
  <si>
    <t>https://www.procyclingstats.com/rider/ivo-emanuel-alves</t>
  </si>
  <si>
    <t>NOVAK Domen</t>
  </si>
  <si>
    <t>https://www.procyclingstats.com/rider/domen-novak</t>
  </si>
  <si>
    <t>CORT Magnus</t>
  </si>
  <si>
    <t>Uno-X Mobility</t>
  </si>
  <si>
    <t>https://www.procyclingstats.com/rider/magnus-cort-nielsen</t>
  </si>
  <si>
    <t>KRON Andreas</t>
  </si>
  <si>
    <t>https://www.procyclingstats.com/rider/andreas-kron</t>
  </si>
  <si>
    <t>LEKNESSUND Andreas</t>
  </si>
  <si>
    <t>https://www.procyclingstats.com/rider/andreas-leknessund</t>
  </si>
  <si>
    <t>DVERSNES LAVIK Fredrik</t>
  </si>
  <si>
    <t>https://www.procyclingstats.com/rider/fredrik-dversnes</t>
  </si>
  <si>
    <t>MULUBRHAN Henok</t>
  </si>
  <si>
    <t>XDS Astana Team</t>
  </si>
  <si>
    <t>https://www.procyclingstats.com/rider/henok-mulubrhan</t>
  </si>
  <si>
    <t>TEJADA Harold</t>
  </si>
  <si>
    <t>https://www.procyclingstats.com/rider/harold-tejada</t>
  </si>
  <si>
    <t>RODRÍGUEZ Cristián</t>
  </si>
  <si>
    <t>https://www.procyclingstats.com/rider/cristian-rodriguez</t>
  </si>
  <si>
    <t>FORTUNATO Lorenzo</t>
  </si>
  <si>
    <t>https://www.procyclingstats.com/rider/lorenzo-fortunato</t>
  </si>
  <si>
    <t>LANGELLOTTI Victor</t>
  </si>
  <si>
    <t>https://www.procyclingstats.com/rider/victor-langellotti</t>
  </si>
  <si>
    <t>VAN BEKKUM Darren</t>
  </si>
  <si>
    <t>https://www.procyclingstats.com/rider/darren-van-bekkum</t>
  </si>
  <si>
    <t>FEDOROV Yevgeniy</t>
  </si>
  <si>
    <t>https://www.procyclingstats.com/rider/yevgeniy-fedorov</t>
  </si>
  <si>
    <t>ROMELE Alessandro</t>
  </si>
  <si>
    <t>https://www.procyclingstats.com/rider/alessandro-romele</t>
  </si>
  <si>
    <t>BRENNER Marco</t>
  </si>
  <si>
    <t>Tudor Pro Cycling Team</t>
  </si>
  <si>
    <t>https://www.procyclingstats.com/rider/marco-brenner</t>
  </si>
  <si>
    <t>KÜNG Stefan</t>
  </si>
  <si>
    <t>https://www.procyclingstats.com/rider/stefan-kung</t>
  </si>
  <si>
    <t>COQUARD Bryan</t>
  </si>
  <si>
    <t>Cofidis</t>
  </si>
  <si>
    <t>https://www.procyclingstats.com/rider/bryan-coquard</t>
  </si>
  <si>
    <t>BUCHMANN Emanuel</t>
  </si>
  <si>
    <t>https://www.procyclingstats.com/rider/emanuel-buchmann</t>
  </si>
  <si>
    <t>RENARD Alexis</t>
  </si>
  <si>
    <t>https://www.procyclingstats.com/rider/alexis-renard</t>
  </si>
  <si>
    <t>KIRSCH Alex</t>
  </si>
  <si>
    <t>https://www.procyclingstats.com/rider/alex-kirsch</t>
  </si>
  <si>
    <t>MONIQUET Sylvain</t>
  </si>
  <si>
    <t>https://www.procyclingstats.com/rider/sylvain-moniquet</t>
  </si>
  <si>
    <t>OURSELIN Paul</t>
  </si>
  <si>
    <t>https://www.procyclingstats.com/rider/paul-ourselin</t>
  </si>
  <si>
    <t>ROULAND Louis</t>
  </si>
  <si>
    <t>https://www.procyclingstats.com/rider/louis-rouland</t>
  </si>
  <si>
    <t>SAMITIER Sergio</t>
  </si>
  <si>
    <t>https://www.procyclingstats.com/rider/sergio-samitier</t>
  </si>
  <si>
    <t>VADER Milan</t>
  </si>
  <si>
    <t>Pinarello Q36.5 Pro Cycling Team</t>
  </si>
  <si>
    <t>https://www.procyclingstats.com/rider/milan-vader</t>
  </si>
  <si>
    <t>DE LA CRUZ David</t>
  </si>
  <si>
    <t>https://www.procyclingstats.com/rider/david-de-la-cruz</t>
  </si>
  <si>
    <t>CALZONI Walter</t>
  </si>
  <si>
    <t>https://www.procyclingstats.com/rider/walter-calzoni</t>
  </si>
  <si>
    <t>HERRADA Jesús</t>
  </si>
  <si>
    <t>Burgos Burpellet BH</t>
  </si>
  <si>
    <t>https://www.procyclingstats.com/rider/jesus-herrada-lopez</t>
  </si>
  <si>
    <t>DÍAZ José Manuel</t>
  </si>
  <si>
    <t>https://www.procyclingstats.com/rider/jose-manuel-diaz-gallego</t>
  </si>
  <si>
    <t>CHUMIL Sergio Geovani</t>
  </si>
  <si>
    <t>https://www.procyclingstats.com/rider/sergio-geovani-chumil-gonzalez</t>
  </si>
  <si>
    <t>FAURA José Luis</t>
  </si>
  <si>
    <t>https://www.procyclingstats.com/rider/jose-luis-faura-asensio</t>
  </si>
  <si>
    <t>APARICIO Mario</t>
  </si>
  <si>
    <t>https://www.procyclingstats.com/rider/mario-aparicio-munoz</t>
  </si>
  <si>
    <t>FERNÁNDEZ Sinuhé</t>
  </si>
  <si>
    <t>https://www.procyclingstats.com/rider/sinuhe-fernandez-rodriguez</t>
  </si>
  <si>
    <t>ALLENO Clément</t>
  </si>
  <si>
    <t>https://www.procyclingstats.com/rider/clement-alleno</t>
  </si>
  <si>
    <t>MACÍAS César</t>
  </si>
  <si>
    <t>https://www.procyclingstats.com/rider/cesar-macias-estrada</t>
  </si>
  <si>
    <t>COBO Iván</t>
  </si>
  <si>
    <t>Equipo Kern Pharma</t>
  </si>
  <si>
    <t>https://www.procyclingstats.com/rider/ivan-cobo-cayon</t>
  </si>
  <si>
    <t>BERRADE Urko</t>
  </si>
  <si>
    <t>https://www.procyclingstats.com/rider/urko-berrade-fernandez</t>
  </si>
  <si>
    <t>BRUSTENGA Marc</t>
  </si>
  <si>
    <t>https://www.procyclingstats.com/rider/marc-brustenga-masague</t>
  </si>
  <si>
    <t>ELOSEGUI Iñigo</t>
  </si>
  <si>
    <t>https://www.procyclingstats.com/rider/inigo-elosegui</t>
  </si>
  <si>
    <t>RUIZ Ibon</t>
  </si>
  <si>
    <t>https://www.procyclingstats.com/rider/ibon-ruiz</t>
  </si>
  <si>
    <t>SOSA Iván Ramiro</t>
  </si>
  <si>
    <t>https://www.procyclingstats.com/rider/ivan-ramiro-sosa</t>
  </si>
  <si>
    <t>URIARTE Diego</t>
  </si>
  <si>
    <t>https://www.procyclingstats.com/rider/diego-uriarte-belzunegi</t>
  </si>
  <si>
    <t>WENZEL Mats</t>
  </si>
  <si>
    <t>https://www.procyclingstats.com/rider/mats-wenzel</t>
  </si>
  <si>
    <t>DEBRUYNE Ramses</t>
  </si>
  <si>
    <t>https://www.procyclingstats.com/rider/ramses-debruyne</t>
  </si>
  <si>
    <t>GROVES Kaden</t>
  </si>
  <si>
    <t>https://www.procyclingstats.com/rider/kaden-groves</t>
  </si>
  <si>
    <t>GOGL Michael</t>
  </si>
  <si>
    <t>https://www.procyclingstats.com/rider/michael-gogl</t>
  </si>
  <si>
    <t>BUSATTO Francesco</t>
  </si>
  <si>
    <t>https://www.procyclingstats.com/rider/francesco-busatto</t>
  </si>
  <si>
    <t>SENTJENS Sente</t>
  </si>
  <si>
    <t>https://www.procyclingstats.com/rider/sente-sentjens</t>
  </si>
  <si>
    <t>DE VYLDER Lindsay</t>
  </si>
  <si>
    <t>https://www.procyclingstats.com/rider/lindsay-de-vylder</t>
  </si>
  <si>
    <t>CHAMBERLAIN Oscar</t>
  </si>
  <si>
    <t>https://www.procyclingstats.com/rider/oscar-chamberlain</t>
  </si>
  <si>
    <t>DE PESTEL Sander</t>
  </si>
  <si>
    <t>https://www.procyclingstats.com/rider/sander-de-pestel</t>
  </si>
  <si>
    <t>LABROSSE Jordan</t>
  </si>
  <si>
    <t>https://www.procyclingstats.com/rider/jordan-labrosse</t>
  </si>
  <si>
    <t>MÜHLBERGER Gregor</t>
  </si>
  <si>
    <t>https://www.procyclingstats.com/rider/gregor-muhlberger</t>
  </si>
  <si>
    <t>SCOTSON Callum</t>
  </si>
  <si>
    <t>https://www.procyclingstats.com/rider/callum-scotson</t>
  </si>
  <si>
    <t>ALBANESE Vincenzo</t>
  </si>
  <si>
    <t>https://www.procyclingstats.com/rider/vincenzo-albanese</t>
  </si>
  <si>
    <t>BELOKI Markel</t>
  </si>
  <si>
    <t>https://www.procyclingstats.com/rider/markel-beloki</t>
  </si>
  <si>
    <t>MACKELLAR Alastair</t>
  </si>
  <si>
    <t>https://www.procyclingstats.com/rider/alastair-mackellar</t>
  </si>
  <si>
    <t>RAFFERTY Darren</t>
  </si>
  <si>
    <t>https://www.procyclingstats.com/rider/darren-rafferty</t>
  </si>
  <si>
    <t>STEINHAUSER Georg</t>
  </si>
  <si>
    <t>https://www.procyclingstats.com/rider/georg-steinhauser</t>
  </si>
  <si>
    <t>RODRIGUEZ Juan Felipe</t>
  </si>
  <si>
    <t>https://www.procyclingstats.com/rider/juan-felipe-rodriguez</t>
  </si>
  <si>
    <t>LE GAC Olivier</t>
  </si>
  <si>
    <t>https://www.procyclingstats.com/rider/olivier-le-gac</t>
  </si>
  <si>
    <t>TRONCHON Bastien</t>
  </si>
  <si>
    <t>https://www.procyclingstats.com/rider/bastien-tronchon</t>
  </si>
  <si>
    <t>PALENI Enzo</t>
  </si>
  <si>
    <t>https://www.procyclingstats.com/rider/enzo-paleni</t>
  </si>
  <si>
    <t>MADOUAS Valentin</t>
  </si>
  <si>
    <t>https://www.procyclingstats.com/rider/valentin-madouas</t>
  </si>
  <si>
    <t>ROCHAS Rémy</t>
  </si>
  <si>
    <t>https://www.procyclingstats.com/rider/remy-rochas</t>
  </si>
  <si>
    <t>BERNARD Julien</t>
  </si>
  <si>
    <t>https://www.procyclingstats.com/rider/julien-bernard</t>
  </si>
  <si>
    <t>KÄMNA Lennard</t>
  </si>
  <si>
    <t>https://www.procyclingstats.com/rider/lennard-kamna</t>
  </si>
  <si>
    <t>KONRAD Patrick</t>
  </si>
  <si>
    <t>https://www.procyclingstats.com/rider/patrick-konrad</t>
  </si>
  <si>
    <t>MOSCA Jacopo</t>
  </si>
  <si>
    <t>https://www.procyclingstats.com/rider/jacopo-mosca</t>
  </si>
  <si>
    <t>AULAR Orluis</t>
  </si>
  <si>
    <t>https://www.procyclingstats.com/rider/orluis-aular</t>
  </si>
  <si>
    <t>CANAL Carlos</t>
  </si>
  <si>
    <t>https://www.procyclingstats.com/rider/carlos-canal</t>
  </si>
  <si>
    <t>FISHER-BLACK Finn</t>
  </si>
  <si>
    <t>https://www.procyclingstats.com/rider/finn-fisher-black</t>
  </si>
  <si>
    <t>MEEUS Jordi</t>
  </si>
  <si>
    <t>https://www.procyclingstats.com/rider/jordi-meeus</t>
  </si>
  <si>
    <t>MOSCON Gianni</t>
  </si>
  <si>
    <t>https://www.procyclingstats.com/rider/gianni-moscon</t>
  </si>
  <si>
    <t>THORNLEY Callum</t>
  </si>
  <si>
    <t>https://www.procyclingstats.com/rider/callum-thornley</t>
  </si>
  <si>
    <t>WANDAHL Frederik</t>
  </si>
  <si>
    <t>https://www.procyclingstats.com/rider/frederik-wandahl</t>
  </si>
  <si>
    <t>ARMIRAIL Bruno</t>
  </si>
  <si>
    <t>https://www.procyclingstats.com/rider/bruno-armirail</t>
  </si>
  <si>
    <t>KUSS Sepp</t>
  </si>
  <si>
    <t>https://www.procyclingstats.com/rider/sepp-kuss</t>
  </si>
  <si>
    <t>JOHANNESSEN Tobias Halland</t>
  </si>
  <si>
    <t>https://www.procyclingstats.com/rider/tobias-halland-johannessen</t>
  </si>
  <si>
    <t>TILLER Rasmus</t>
  </si>
  <si>
    <t>https://www.procyclingstats.com/rider/rasmus-tiller</t>
  </si>
  <si>
    <t>DALBY Simon</t>
  </si>
  <si>
    <t>https://www.procyclingstats.com/rider/simon-dalby</t>
  </si>
  <si>
    <t>TJØTTA Martin</t>
  </si>
  <si>
    <t>https://www.procyclingstats.com/rider/martin-tjotta</t>
  </si>
  <si>
    <t>BARTA Will</t>
  </si>
  <si>
    <t>https://www.procyclingstats.com/rider/william-barta</t>
  </si>
  <si>
    <t>KLUCKERS Arthur</t>
  </si>
  <si>
    <t>https://www.procyclingstats.com/rider/arthur-kluckers</t>
  </si>
  <si>
    <t>THALMANN Roland</t>
  </si>
  <si>
    <t>https://www.procyclingstats.com/rider/roland-thalmann</t>
  </si>
  <si>
    <t>WARBASSE Larry</t>
  </si>
  <si>
    <t>https://www.procyclingstats.com/rider/lawrence-warbasse</t>
  </si>
  <si>
    <t>WEISS Fabian</t>
  </si>
  <si>
    <t>https://www.procyclingstats.com/rider/fabian-weiss</t>
  </si>
  <si>
    <t>WILKSCH Hannes</t>
  </si>
  <si>
    <t>https://www.procyclingstats.com/rider/hannes-wilksch</t>
  </si>
  <si>
    <t>BILBAO Pello</t>
  </si>
  <si>
    <t>https://www.procyclingstats.com/rider/pello-bilbao</t>
  </si>
  <si>
    <t>GOVEKAR Matevž</t>
  </si>
  <si>
    <t>https://www.procyclingstats.com/rider/matevz-govekar</t>
  </si>
  <si>
    <t>OMRZEL Jakob</t>
  </si>
  <si>
    <t>https://www.procyclingstats.com/rider/jakob-omrzel</t>
  </si>
  <si>
    <t>PAASSCHENS Mathijs</t>
  </si>
  <si>
    <t>https://www.procyclingstats.com/rider/mathijs-paasschens</t>
  </si>
  <si>
    <t>VALTER Attila</t>
  </si>
  <si>
    <t>https://www.procyclingstats.com/rider/attila-valter</t>
  </si>
  <si>
    <t>BENNETT George</t>
  </si>
  <si>
    <t>https://www.procyclingstats.com/rider/george-bennett</t>
  </si>
  <si>
    <t>HOFSTETTER Hugo</t>
  </si>
  <si>
    <t>https://www.procyclingstats.com/rider/hugo-hofstetter</t>
  </si>
  <si>
    <t>KRETSCHY Moritz</t>
  </si>
  <si>
    <t>https://www.procyclingstats.com/rider/moritz-kretschy</t>
  </si>
  <si>
    <t>MARTÍ Pau</t>
  </si>
  <si>
    <t>https://www.procyclingstats.com/rider/pau-marti-soriano</t>
  </si>
  <si>
    <t>SCHULTZ Nick</t>
  </si>
  <si>
    <t>https://www.procyclingstats.com/rider/nick-schultz</t>
  </si>
  <si>
    <t>VAN TRICHT Floris</t>
  </si>
  <si>
    <t>https://www.procyclingstats.com/rider/floris-van-tricht</t>
  </si>
  <si>
    <t>VAN DEN BOSSCHE Fabio</t>
  </si>
  <si>
    <t>https://www.procyclingstats.com/rider/fabio-van-den-bossche</t>
  </si>
  <si>
    <t>GAROFOLI Gianmarco</t>
  </si>
  <si>
    <t>https://www.procyclingstats.com/rider/gianmarco-garofoli</t>
  </si>
  <si>
    <t>CAMPRUBÍ Marcel</t>
  </si>
  <si>
    <t>https://www.procyclingstats.com/rider/marcel-camprubi</t>
  </si>
  <si>
    <t>DUNBAR Eddie</t>
  </si>
  <si>
    <t>https://www.procyclingstats.com/rider/edward-irl-dunbar</t>
  </si>
  <si>
    <t>GLOAG Thomas</t>
  </si>
  <si>
    <t>https://www.procyclingstats.com/rider/thomas-gloag</t>
  </si>
  <si>
    <t>AZPARREN Xabier Mikel</t>
  </si>
  <si>
    <t>https://www.procyclingstats.com/rider/xabier-mikel-azparren-irurzun</t>
  </si>
  <si>
    <t>GONZÁLEZ David</t>
  </si>
  <si>
    <t>https://www.procyclingstats.com/rider/david-gonzalez-lopez</t>
  </si>
  <si>
    <t>HAIG Jack</t>
  </si>
  <si>
    <t>https://www.procyclingstats.com/rider/jack-haig</t>
  </si>
  <si>
    <t>HAMILTON Lucas</t>
  </si>
  <si>
    <t>https://www.procyclingstats.com/rider/lucas-hamilton</t>
  </si>
  <si>
    <t>LAURANCE Axel</t>
  </si>
  <si>
    <t>https://www.procyclingstats.com/rider/axel-laurance</t>
  </si>
  <si>
    <t>SVESTAD-BÅRDSENG Embret</t>
  </si>
  <si>
    <t>https://www.procyclingstats.com/rider/embret-svestad-bardseng</t>
  </si>
  <si>
    <t>TARLING Joshua</t>
  </si>
  <si>
    <t>https://www.procyclingstats.com/rider/joshua-tarling</t>
  </si>
  <si>
    <t>TURNER Ben</t>
  </si>
  <si>
    <t>https://www.procyclingstats.com/rider/ben-turner</t>
  </si>
  <si>
    <t>VANSEVENANT Mauri</t>
  </si>
  <si>
    <t>https://www.procyclingstats.com/rider/mauri-vansevenant</t>
  </si>
  <si>
    <t>Instellingen PCS-prijsmodel</t>
  </si>
  <si>
    <t>De PCS-scores worden per categorie genormaliseerd ten opzichte van de hoogste score in deze actuele startlijst.</t>
  </si>
  <si>
    <t>Gewichten</t>
  </si>
  <si>
    <t>Score per verwachte rol</t>
  </si>
  <si>
    <t>Jongere</t>
  </si>
  <si>
    <t>Algemeen</t>
  </si>
  <si>
    <t>Kopman berg</t>
  </si>
  <si>
    <t>Punten</t>
  </si>
  <si>
    <t>Berg</t>
  </si>
  <si>
    <t>Totaal</t>
  </si>
  <si>
    <t>Prijsformule</t>
  </si>
  <si>
    <t>Minimumprijs</t>
  </si>
  <si>
    <t>Maximumprijs</t>
  </si>
  <si>
    <t>Exponent</t>
  </si>
  <si>
    <t>Afronden op</t>
  </si>
  <si>
    <t>Prijsniveaus</t>
  </si>
  <si>
    <t>Absolute top vanaf</t>
  </si>
  <si>
    <t>Kopman vanaf</t>
  </si>
  <si>
    <t>Sterke keuze vanaf</t>
  </si>
  <si>
    <t>Bruikbaar vanaf</t>
  </si>
  <si>
    <t>Gok: lager 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</si>
</sst>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">
    <xf numFmtId="0" fontId="0" fillId="0" borderId="0" xfId="0"/>
    <xf numFmtId="0" fontId="1" fillId="2" borderId="0" xfId="1" applyFont="1" applyFill="1"/>
    <xf numFmtId="0" fontId="2" fillId="3" borderId="0" xfId="1" applyFont="1" applyFill="1"/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9"/>
  <sheetViews>
    <sheetView topLeftCell="A166" workbookViewId="0">
      <selection activeCell="M202" sqref="M202"/>
    </sheetView>
  </sheetViews>
  <sheetFormatPr defaultRowHeight="14"/>
  <cols>
    <col min="1" max="1" width="39.4140625" customWidth="1"/>
    <col min="2" max="2" width="25" customWidth="1"/>
    <col min="3" max="3" width="7.4140625" customWidth="1"/>
    <col min="4" max="4" width="12.5" customWidth="1"/>
    <col min="5" max="5" width="11.9140625" customWidth="1"/>
    <col min="6" max="6" width="19.75" customWidth="1"/>
    <col min="7" max="7" width="11.5" customWidth="1"/>
    <col min="8" max="8" width="4.25" customWidth="1"/>
    <col min="9" max="9" width="7" customWidth="1"/>
    <col min="10" max="10" width="11.5" customWidth="1"/>
    <col min="11" max="11" width="12.1640625" customWidth="1"/>
    <col min="12" max="12" width="8.75" customWidth="1"/>
    <col min="13" max="13" width="17" customWidth="1"/>
    <col min="14" max="14" width="15.1640625" customWidth="1"/>
    <col min="15" max="15" width="10.1640625" customWidth="1"/>
    <col min="16" max="16" width="11.75" customWidth="1"/>
    <col min="17" max="17" width="53.5" customWidth="1"/>
  </cols>
  <sheetData>
    <row r="1" spans="1:17" ht="2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</row>
    <row r="5" spans="1:17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  <c r="Q5" s="2" t="s">
        <v>18</v>
      </c>
    </row>
    <row r="6" spans="1:17">
      <c r="A6" t="s">
        <v>174</v>
      </c>
      <c r="B6" t="s">
        <v>175</v>
      </c>
      <c r="C6" t="s">
        <v>21</v>
      </c>
      <c r="D6" t="s">
        <v>22</v>
      </c>
      <c r="E6">
        <v>8344</v>
      </c>
      <c r="F6">
        <v>10343</v>
      </c>
      <c r="G6">
        <v>10882</v>
      </c>
      <c r="H6">
        <v>3587</v>
      </c>
      <c r="I6">
        <f>IF(D6="","",IFERROR(VLOOKUP(D6,Instellingen!$D$5:$E$13,2,FALSE),""))</f>
        <v>100</v>
      </c>
      <c r="J6">
        <f>IF(C6="","",IF(C6="Ja",100,0))</f>
        <v>0</v>
      </c>
      <c r="K6">
        <f>IF(D6="","",SUM(I6*Instellingen!$B$5,J6*Instellingen!$B$6,IFERROR(E6/MAX($E$6:$E$189)*100,0)*Instellingen!$B$7,IFERROR(F6/MAX($F$6:$F$189)*100,0)*Instellingen!$B$8,IFERROR(G6/MAX($G$6:$G$189)*100,0)*Instellingen!$B$9,IFERROR(H6/MAX($H$6:$H$189)*100,0)*Instellingen!$B$10)/SUM(Instellingen!$B$5:$B$10))</f>
        <v>84.975240981002827</v>
      </c>
      <c r="L6">
        <f>IF(K6="","",ROUND((Instellingen!$B$16+(Instellingen!$B$17-Instellingen!$B$16)*POWER(K6/100,Instellingen!$B$18))/Instellingen!$B$19,0)*Instellingen!$B$19)</f>
        <v>3270</v>
      </c>
      <c r="N6">
        <f>IF(L6="","",MAX(Instellingen!$B$16,MIN(Instellingen!$B$17,L6+IF(M6="",0,M6))))</f>
        <v>3270</v>
      </c>
      <c r="O6" t="str">
        <f>IF(N6="","",IF(N6&gt;=Instellingen!$B$22,"Absolute top",IF(N6&gt;=Instellingen!$B$23,"Kopman",IF(N6&gt;=Instellingen!$B$24,"Sterke keuze",IF(N6&gt;=Instellingen!$B$25,"Bruikbaar","Gok")))))</f>
        <v>Absolute top</v>
      </c>
      <c r="P6" t="str">
        <f>IF(A6="","",IF(D6="","Rol invullen","Compleet"))</f>
        <v>Compleet</v>
      </c>
      <c r="Q6" t="s">
        <v>176</v>
      </c>
    </row>
    <row r="7" spans="1:17">
      <c r="A7" t="s">
        <v>109</v>
      </c>
      <c r="B7" t="s">
        <v>110</v>
      </c>
      <c r="C7" t="s">
        <v>21</v>
      </c>
      <c r="D7" t="s">
        <v>22</v>
      </c>
      <c r="E7">
        <v>8598</v>
      </c>
      <c r="F7">
        <v>2171</v>
      </c>
      <c r="G7">
        <v>8758</v>
      </c>
      <c r="H7">
        <v>6156</v>
      </c>
      <c r="I7">
        <f>IF(D7="","",IFERROR(VLOOKUP(D7,Instellingen!$D$5:$E$13,2,FALSE),""))</f>
        <v>100</v>
      </c>
      <c r="J7">
        <f>IF(C7="","",IF(C7="Ja",100,0))</f>
        <v>0</v>
      </c>
      <c r="K7">
        <f>IF(D7="","",SUM(I7*Instellingen!$B$5,J7*Instellingen!$B$6,IFERROR(E7/MAX($E$6:$E$189)*100,0)*Instellingen!$B$7,IFERROR(F7/MAX($F$6:$F$189)*100,0)*Instellingen!$B$8,IFERROR(G7/MAX($G$6:$G$189)*100,0)*Instellingen!$B$9,IFERROR(H7/MAX($H$6:$H$189)*100,0)*Instellingen!$B$10)/SUM(Instellingen!$B$5:$B$10))</f>
        <v>70.725776253878038</v>
      </c>
      <c r="L7">
        <f>IF(K7="","",ROUND((Instellingen!$B$16+(Instellingen!$B$17-Instellingen!$B$16)*POWER(K7/100,Instellingen!$B$18))/Instellingen!$B$19,0)*Instellingen!$B$19)</f>
        <v>2618</v>
      </c>
      <c r="N7">
        <f>IF(L7="","",MAX(Instellingen!$B$16,MIN(Instellingen!$B$17,L7+IF(M7="",0,M7))))</f>
        <v>2618</v>
      </c>
      <c r="O7" t="str">
        <f>IF(N7="","",IF(N7&gt;=Instellingen!$B$22,"Absolute top",IF(N7&gt;=Instellingen!$B$23,"Kopman",IF(N7&gt;=Instellingen!$B$24,"Sterke keuze",IF(N7&gt;=Instellingen!$B$25,"Bruikbaar","Gok")))))</f>
        <v>Absolute top</v>
      </c>
      <c r="P7" t="str">
        <f>IF(A7="","",IF(D7="","Rol invullen","Compleet"))</f>
        <v>Compleet</v>
      </c>
      <c r="Q7" t="s">
        <v>111</v>
      </c>
    </row>
    <row r="8" spans="1:17">
      <c r="A8" t="s">
        <v>123</v>
      </c>
      <c r="B8" t="s">
        <v>117</v>
      </c>
      <c r="C8" t="s">
        <v>21</v>
      </c>
      <c r="D8" t="s">
        <v>22</v>
      </c>
      <c r="E8">
        <v>6488</v>
      </c>
      <c r="F8">
        <v>1144</v>
      </c>
      <c r="G8">
        <v>7257</v>
      </c>
      <c r="H8">
        <v>310</v>
      </c>
      <c r="I8">
        <f>IF(D8="","",IFERROR(VLOOKUP(D8,Instellingen!$D$5:$E$13,2,FALSE),""))</f>
        <v>100</v>
      </c>
      <c r="J8">
        <f>IF(C8="","",IF(C8="Ja",100,0))</f>
        <v>0</v>
      </c>
      <c r="K8">
        <f>IF(D8="","",SUM(I8*Instellingen!$B$5,J8*Instellingen!$B$6,IFERROR(E8/MAX($E$6:$E$189)*100,0)*Instellingen!$B$7,IFERROR(F8/MAX($F$6:$F$189)*100,0)*Instellingen!$B$8,IFERROR(G8/MAX($G$6:$G$189)*100,0)*Instellingen!$B$9,IFERROR(H8/MAX($H$6:$H$189)*100,0)*Instellingen!$B$10)/SUM(Instellingen!$B$5:$B$10))</f>
        <v>53.669626656810166</v>
      </c>
      <c r="L8">
        <f>IF(K8="","",ROUND((Instellingen!$B$16+(Instellingen!$B$17-Instellingen!$B$16)*POWER(K8/100,Instellingen!$B$18))/Instellingen!$B$19,0)*Instellingen!$B$19)</f>
        <v>1897</v>
      </c>
      <c r="N8">
        <f>IF(L8="","",MAX(Instellingen!$B$16,MIN(Instellingen!$B$17,L8+IF(M8="",0,M8))))</f>
        <v>1897</v>
      </c>
      <c r="O8" t="str">
        <f>IF(N8="","",IF(N8&gt;=Instellingen!$B$22,"Absolute top",IF(N8&gt;=Instellingen!$B$23,"Kopman",IF(N8&gt;=Instellingen!$B$24,"Sterke keuze",IF(N8&gt;=Instellingen!$B$25,"Bruikbaar","Gok")))))</f>
        <v>Kopman</v>
      </c>
      <c r="P8" t="str">
        <f>IF(A8="","",IF(D8="","Rol invullen","Compleet"))</f>
        <v>Compleet</v>
      </c>
      <c r="Q8" t="s">
        <v>124</v>
      </c>
    </row>
    <row r="9" spans="1:17">
      <c r="A9" t="s">
        <v>370</v>
      </c>
      <c r="B9" t="s">
        <v>29</v>
      </c>
      <c r="C9" t="s">
        <v>21</v>
      </c>
      <c r="D9" t="s">
        <v>22</v>
      </c>
      <c r="E9">
        <v>5098</v>
      </c>
      <c r="F9">
        <v>2111</v>
      </c>
      <c r="G9">
        <v>5391</v>
      </c>
      <c r="H9">
        <v>1187</v>
      </c>
      <c r="I9">
        <f>IF(D9="","",IFERROR(VLOOKUP(D9,Instellingen!$D$5:$E$13,2,FALSE),""))</f>
        <v>100</v>
      </c>
      <c r="J9">
        <f>IF(C9="","",IF(C9="Ja",100,0))</f>
        <v>0</v>
      </c>
      <c r="K9">
        <f>IF(D9="","",SUM(I9*Instellingen!$B$5,J9*Instellingen!$B$6,IFERROR(E9/MAX($E$6:$E$189)*100,0)*Instellingen!$B$7,IFERROR(F9/MAX($F$6:$F$189)*100,0)*Instellingen!$B$8,IFERROR(G9/MAX($G$6:$G$189)*100,0)*Instellingen!$B$9,IFERROR(H9/MAX($H$6:$H$189)*100,0)*Instellingen!$B$10)/SUM(Instellingen!$B$5:$B$10))</f>
        <v>47.828830008692876</v>
      </c>
      <c r="L9">
        <f>IF(K9="","",ROUND((Instellingen!$B$16+(Instellingen!$B$17-Instellingen!$B$16)*POWER(K9/100,Instellingen!$B$18))/Instellingen!$B$19,0)*Instellingen!$B$19)</f>
        <v>1667</v>
      </c>
      <c r="N9">
        <f>IF(L9="","",MAX(Instellingen!$B$16,MIN(Instellingen!$B$17,L9+IF(M9="",0,M9))))</f>
        <v>1667</v>
      </c>
      <c r="O9" t="str">
        <f>IF(N9="","",IF(N9&gt;=Instellingen!$B$22,"Absolute top",IF(N9&gt;=Instellingen!$B$23,"Kopman",IF(N9&gt;=Instellingen!$B$24,"Sterke keuze",IF(N9&gt;=Instellingen!$B$25,"Bruikbaar","Gok")))))</f>
        <v>Kopman</v>
      </c>
      <c r="P9" t="str">
        <f>IF(A9="","",IF(D9="","Rol invullen","Compleet"))</f>
        <v>Compleet</v>
      </c>
      <c r="Q9" t="s">
        <v>371</v>
      </c>
    </row>
    <row r="10" spans="1:17">
      <c r="A10" t="s">
        <v>177</v>
      </c>
      <c r="B10" t="s">
        <v>175</v>
      </c>
      <c r="C10" t="s">
        <v>21</v>
      </c>
      <c r="D10" t="s">
        <v>22</v>
      </c>
      <c r="E10">
        <v>5449</v>
      </c>
      <c r="F10">
        <v>478</v>
      </c>
      <c r="G10">
        <v>4868</v>
      </c>
      <c r="H10">
        <v>2996</v>
      </c>
      <c r="I10">
        <f>IF(D10="","",IFERROR(VLOOKUP(D10,Instellingen!$D$5:$E$13,2,FALSE),""))</f>
        <v>100</v>
      </c>
      <c r="J10">
        <f>IF(C10="","",IF(C10="Ja",100,0))</f>
        <v>0</v>
      </c>
      <c r="K10">
        <f>IF(D10="","",SUM(I10*Instellingen!$B$5,J10*Instellingen!$B$6,IFERROR(E10/MAX($E$6:$E$189)*100,0)*Instellingen!$B$7,IFERROR(F10/MAX($F$6:$F$189)*100,0)*Instellingen!$B$8,IFERROR(G10/MAX($G$6:$G$189)*100,0)*Instellingen!$B$9,IFERROR(H10/MAX($H$6:$H$189)*100,0)*Instellingen!$B$10)/SUM(Instellingen!$B$5:$B$10))</f>
        <v>47.085345995735992</v>
      </c>
      <c r="L10">
        <f>IF(K10="","",ROUND((Instellingen!$B$16+(Instellingen!$B$17-Instellingen!$B$16)*POWER(K10/100,Instellingen!$B$18))/Instellingen!$B$19,0)*Instellingen!$B$19)</f>
        <v>1638</v>
      </c>
      <c r="M10">
        <v>-200</v>
      </c>
      <c r="N10">
        <f>IF(L10="","",MAX(Instellingen!$B$16,MIN(Instellingen!$B$17,L10+IF(M10="",0,M10))))</f>
        <v>1438</v>
      </c>
      <c r="O10" t="str">
        <f>IF(N10="","",IF(N10&gt;=Instellingen!$B$22,"Absolute top",IF(N10&gt;=Instellingen!$B$23,"Kopman",IF(N10&gt;=Instellingen!$B$24,"Sterke keuze",IF(N10&gt;=Instellingen!$B$25,"Bruikbaar","Gok")))))</f>
        <v>Sterke keuze</v>
      </c>
      <c r="P10" t="str">
        <f>IF(A10="","",IF(D10="","Rol invullen","Compleet"))</f>
        <v>Compleet</v>
      </c>
      <c r="Q10" t="s">
        <v>178</v>
      </c>
    </row>
    <row r="11" spans="1:17">
      <c r="A11" t="s">
        <v>91</v>
      </c>
      <c r="B11" t="s">
        <v>92</v>
      </c>
      <c r="C11" t="s">
        <v>21</v>
      </c>
      <c r="D11" t="s">
        <v>22</v>
      </c>
      <c r="E11">
        <v>5152</v>
      </c>
      <c r="F11">
        <v>1119</v>
      </c>
      <c r="G11">
        <v>6028</v>
      </c>
      <c r="H11">
        <v>696</v>
      </c>
      <c r="I11">
        <f>IF(D11="","",IFERROR(VLOOKUP(D11,Instellingen!$D$5:$E$13,2,FALSE),""))</f>
        <v>100</v>
      </c>
      <c r="J11">
        <f>IF(C11="","",IF(C11="Ja",100,0))</f>
        <v>0</v>
      </c>
      <c r="K11">
        <f>IF(D11="","",SUM(I11*Instellingen!$B$5,J11*Instellingen!$B$6,IFERROR(E11/MAX($E$6:$E$189)*100,0)*Instellingen!$B$7,IFERROR(F11/MAX($F$6:$F$189)*100,0)*Instellingen!$B$8,IFERROR(G11/MAX($G$6:$G$189)*100,0)*Instellingen!$B$9,IFERROR(H11/MAX($H$6:$H$189)*100,0)*Instellingen!$B$10)/SUM(Instellingen!$B$5:$B$10))</f>
        <v>46.796272223516169</v>
      </c>
      <c r="L11">
        <f>IF(K11="","",ROUND((Instellingen!$B$16+(Instellingen!$B$17-Instellingen!$B$16)*POWER(K11/100,Instellingen!$B$18))/Instellingen!$B$19,0)*Instellingen!$B$19)</f>
        <v>1627</v>
      </c>
      <c r="N11">
        <f>IF(L11="","",MAX(Instellingen!$B$16,MIN(Instellingen!$B$17,L11+IF(M11="",0,M11))))</f>
        <v>1627</v>
      </c>
      <c r="O11" t="str">
        <f>IF(N11="","",IF(N11&gt;=Instellingen!$B$22,"Absolute top",IF(N11&gt;=Instellingen!$B$23,"Kopman",IF(N11&gt;=Instellingen!$B$24,"Sterke keuze",IF(N11&gt;=Instellingen!$B$25,"Bruikbaar","Gok")))))</f>
        <v>Kopman</v>
      </c>
      <c r="P11" t="str">
        <f>IF(A11="","",IF(D11="","Rol invullen","Compleet"))</f>
        <v>Compleet</v>
      </c>
      <c r="Q11" t="s">
        <v>93</v>
      </c>
    </row>
    <row r="12" spans="1:17">
      <c r="A12" t="s">
        <v>44</v>
      </c>
      <c r="B12" t="s">
        <v>45</v>
      </c>
      <c r="C12" t="s">
        <v>21</v>
      </c>
      <c r="D12" t="s">
        <v>22</v>
      </c>
      <c r="E12">
        <v>4658</v>
      </c>
      <c r="F12">
        <v>1724</v>
      </c>
      <c r="G12">
        <v>5654</v>
      </c>
      <c r="H12">
        <v>585</v>
      </c>
      <c r="I12">
        <f>IF(D12="","",IFERROR(VLOOKUP(D12,Instellingen!$D$5:$E$13,2,FALSE),""))</f>
        <v>100</v>
      </c>
      <c r="J12">
        <f>IF(C12="","",IF(C12="Ja",100,0))</f>
        <v>0</v>
      </c>
      <c r="K12">
        <f>IF(D12="","",SUM(I12*Instellingen!$B$5,J12*Instellingen!$B$6,IFERROR(E12/MAX($E$6:$E$189)*100,0)*Instellingen!$B$7,IFERROR(F12/MAX($F$6:$F$189)*100,0)*Instellingen!$B$8,IFERROR(G12/MAX($G$6:$G$189)*100,0)*Instellingen!$B$9,IFERROR(H12/MAX($H$6:$H$189)*100,0)*Instellingen!$B$10)/SUM(Instellingen!$B$5:$B$10))</f>
        <v>45.246737767599186</v>
      </c>
      <c r="L12">
        <f>IF(K12="","",ROUND((Instellingen!$B$16+(Instellingen!$B$17-Instellingen!$B$16)*POWER(K12/100,Instellingen!$B$18))/Instellingen!$B$19,0)*Instellingen!$B$19)</f>
        <v>1568</v>
      </c>
      <c r="N12">
        <f>IF(L12="","",MAX(Instellingen!$B$16,MIN(Instellingen!$B$17,L12+IF(M12="",0,M12))))</f>
        <v>1568</v>
      </c>
      <c r="O12" t="str">
        <f>IF(N12="","",IF(N12&gt;=Instellingen!$B$22,"Absolute top",IF(N12&gt;=Instellingen!$B$23,"Kopman",IF(N12&gt;=Instellingen!$B$24,"Sterke keuze",IF(N12&gt;=Instellingen!$B$25,"Bruikbaar","Gok")))))</f>
        <v>Sterke keuze</v>
      </c>
      <c r="P12" t="str">
        <f>IF(A12="","",IF(D12="","Rol invullen","Compleet"))</f>
        <v>Compleet</v>
      </c>
      <c r="Q12" t="s">
        <v>46</v>
      </c>
    </row>
    <row r="13" spans="1:17">
      <c r="A13" t="s">
        <v>161</v>
      </c>
      <c r="B13" t="s">
        <v>162</v>
      </c>
      <c r="C13" t="s">
        <v>21</v>
      </c>
      <c r="D13" t="s">
        <v>70</v>
      </c>
      <c r="E13">
        <v>1433</v>
      </c>
      <c r="F13">
        <v>11371</v>
      </c>
      <c r="G13">
        <v>2192</v>
      </c>
      <c r="H13">
        <v>3102</v>
      </c>
      <c r="I13">
        <f>IF(D13="","",IFERROR(VLOOKUP(D13,Instellingen!$D$5:$E$13,2,FALSE),""))</f>
        <v>90</v>
      </c>
      <c r="J13">
        <f>IF(C13="","",IF(C13="Ja",100,0))</f>
        <v>0</v>
      </c>
      <c r="K13">
        <f>IF(D13="","",SUM(I13*Instellingen!$B$5,J13*Instellingen!$B$6,IFERROR(E13/MAX($E$6:$E$189)*100,0)*Instellingen!$B$7,IFERROR(F13/MAX($F$6:$F$189)*100,0)*Instellingen!$B$8,IFERROR(G13/MAX($G$6:$G$189)*100,0)*Instellingen!$B$9,IFERROR(H13/MAX($H$6:$H$189)*100,0)*Instellingen!$B$10)/SUM(Instellingen!$B$5:$B$10))</f>
        <v>44.791217506299411</v>
      </c>
      <c r="L13">
        <f>IF(K13="","",ROUND((Instellingen!$B$16+(Instellingen!$B$17-Instellingen!$B$16)*POWER(K13/100,Instellingen!$B$18))/Instellingen!$B$19,0)*Instellingen!$B$19)</f>
        <v>1551</v>
      </c>
      <c r="N13">
        <f>IF(L13="","",MAX(Instellingen!$B$16,MIN(Instellingen!$B$17,L13+IF(M13="",0,M13))))</f>
        <v>1551</v>
      </c>
      <c r="O13" t="str">
        <f>IF(N13="","",IF(N13&gt;=Instellingen!$B$22,"Absolute top",IF(N13&gt;=Instellingen!$B$23,"Kopman",IF(N13&gt;=Instellingen!$B$24,"Sterke keuze",IF(N13&gt;=Instellingen!$B$25,"Bruikbaar","Gok")))))</f>
        <v>Sterke keuze</v>
      </c>
      <c r="P13" t="str">
        <f>IF(A13="","",IF(D13="","Rol invullen","Compleet"))</f>
        <v>Compleet</v>
      </c>
      <c r="Q13" t="s">
        <v>163</v>
      </c>
    </row>
    <row r="14" spans="1:17">
      <c r="A14" t="s">
        <v>49</v>
      </c>
      <c r="B14" t="s">
        <v>50</v>
      </c>
      <c r="C14" t="s">
        <v>21</v>
      </c>
      <c r="D14" t="s">
        <v>22</v>
      </c>
      <c r="E14">
        <v>4232</v>
      </c>
      <c r="F14">
        <v>2651</v>
      </c>
      <c r="G14">
        <v>4247</v>
      </c>
      <c r="H14">
        <v>10</v>
      </c>
      <c r="I14">
        <f>IF(D14="","",IFERROR(VLOOKUP(D14,Instellingen!$D$5:$E$13,2,FALSE),""))</f>
        <v>100</v>
      </c>
      <c r="J14">
        <f>IF(C14="","",IF(C14="Ja",100,0))</f>
        <v>0</v>
      </c>
      <c r="K14">
        <f>IF(D14="","",SUM(I14*Instellingen!$B$5,J14*Instellingen!$B$6,IFERROR(E14/MAX($E$6:$E$189)*100,0)*Instellingen!$B$7,IFERROR(F14/MAX($F$6:$F$189)*100,0)*Instellingen!$B$8,IFERROR(G14/MAX($G$6:$G$189)*100,0)*Instellingen!$B$9,IFERROR(H14/MAX($H$6:$H$189)*100,0)*Instellingen!$B$10)/SUM(Instellingen!$B$5:$B$10))</f>
        <v>42.752017762698877</v>
      </c>
      <c r="L14">
        <f>IF(K14="","",ROUND((Instellingen!$B$16+(Instellingen!$B$17-Instellingen!$B$16)*POWER(K14/100,Instellingen!$B$18))/Instellingen!$B$19,0)*Instellingen!$B$19)</f>
        <v>1475</v>
      </c>
      <c r="N14">
        <f>IF(L14="","",MAX(Instellingen!$B$16,MIN(Instellingen!$B$17,L14+IF(M14="",0,M14))))</f>
        <v>1475</v>
      </c>
      <c r="O14" t="str">
        <f>IF(N14="","",IF(N14&gt;=Instellingen!$B$22,"Absolute top",IF(N14&gt;=Instellingen!$B$23,"Kopman",IF(N14&gt;=Instellingen!$B$24,"Sterke keuze",IF(N14&gt;=Instellingen!$B$25,"Bruikbaar","Gok")))))</f>
        <v>Sterke keuze</v>
      </c>
      <c r="P14" t="str">
        <f>IF(A14="","",IF(D14="","Rol invullen","Compleet"))</f>
        <v>Compleet</v>
      </c>
      <c r="Q14" t="s">
        <v>51</v>
      </c>
    </row>
    <row r="15" spans="1:17">
      <c r="A15" t="s">
        <v>56</v>
      </c>
      <c r="B15" t="s">
        <v>57</v>
      </c>
      <c r="C15" t="s">
        <v>25</v>
      </c>
      <c r="D15" t="s">
        <v>22</v>
      </c>
      <c r="E15">
        <v>2693</v>
      </c>
      <c r="F15">
        <v>529</v>
      </c>
      <c r="G15">
        <v>2638</v>
      </c>
      <c r="H15">
        <v>497</v>
      </c>
      <c r="I15">
        <f>IF(D15="","",IFERROR(VLOOKUP(D15,Instellingen!$D$5:$E$13,2,FALSE),""))</f>
        <v>100</v>
      </c>
      <c r="J15">
        <f>IF(C15="","",IF(C15="Ja",100,0))</f>
        <v>100</v>
      </c>
      <c r="K15">
        <f>IF(D15="","",SUM(I15*Instellingen!$B$5,J15*Instellingen!$B$6,IFERROR(E15/MAX($E$6:$E$189)*100,0)*Instellingen!$B$7,IFERROR(F15/MAX($F$6:$F$189)*100,0)*Instellingen!$B$8,IFERROR(G15/MAX($G$6:$G$189)*100,0)*Instellingen!$B$9,IFERROR(H15/MAX($H$6:$H$189)*100,0)*Instellingen!$B$10)/SUM(Instellingen!$B$5:$B$10))</f>
        <v>40.919505307323156</v>
      </c>
      <c r="L15">
        <f>IF(K15="","",ROUND((Instellingen!$B$16+(Instellingen!$B$17-Instellingen!$B$16)*POWER(K15/100,Instellingen!$B$18))/Instellingen!$B$19,0)*Instellingen!$B$19)</f>
        <v>1407</v>
      </c>
      <c r="N15">
        <f>IF(L15="","",MAX(Instellingen!$B$16,MIN(Instellingen!$B$17,L15+IF(M15="",0,M15))))</f>
        <v>1407</v>
      </c>
      <c r="O15" t="str">
        <f>IF(N15="","",IF(N15&gt;=Instellingen!$B$22,"Absolute top",IF(N15&gt;=Instellingen!$B$23,"Kopman",IF(N15&gt;=Instellingen!$B$24,"Sterke keuze",IF(N15&gt;=Instellingen!$B$25,"Bruikbaar","Gok")))))</f>
        <v>Sterke keuze</v>
      </c>
      <c r="P15" t="str">
        <f>IF(A15="","",IF(D15="","Rol invullen","Compleet"))</f>
        <v>Compleet</v>
      </c>
      <c r="Q15" t="s">
        <v>58</v>
      </c>
    </row>
    <row r="16" spans="1:17">
      <c r="A16" t="s">
        <v>170</v>
      </c>
      <c r="B16" t="s">
        <v>162</v>
      </c>
      <c r="C16" t="s">
        <v>21</v>
      </c>
      <c r="D16" t="s">
        <v>22</v>
      </c>
      <c r="E16">
        <v>4504</v>
      </c>
      <c r="F16">
        <v>387</v>
      </c>
      <c r="G16">
        <v>4081</v>
      </c>
      <c r="H16">
        <v>1440</v>
      </c>
      <c r="I16">
        <f>IF(D16="","",IFERROR(VLOOKUP(D16,Instellingen!$D$5:$E$13,2,FALSE),""))</f>
        <v>100</v>
      </c>
      <c r="J16">
        <f>IF(C16="","",IF(C16="Ja",100,0))</f>
        <v>0</v>
      </c>
      <c r="K16">
        <f>IF(D16="","",SUM(I16*Instellingen!$B$5,J16*Instellingen!$B$6,IFERROR(E16/MAX($E$6:$E$189)*100,0)*Instellingen!$B$7,IFERROR(F16/MAX($F$6:$F$189)*100,0)*Instellingen!$B$8,IFERROR(G16/MAX($G$6:$G$189)*100,0)*Instellingen!$B$9,IFERROR(H16/MAX($H$6:$H$189)*100,0)*Instellingen!$B$10)/SUM(Instellingen!$B$5:$B$10))</f>
        <v>40.771528402904771</v>
      </c>
      <c r="L16">
        <f>IF(K16="","",ROUND((Instellingen!$B$16+(Instellingen!$B$17-Instellingen!$B$16)*POWER(K16/100,Instellingen!$B$18))/Instellingen!$B$19,0)*Instellingen!$B$19)</f>
        <v>1402</v>
      </c>
      <c r="M16">
        <v>-200</v>
      </c>
      <c r="N16">
        <f>IF(L16="","",MAX(Instellingen!$B$16,MIN(Instellingen!$B$17,L16+IF(M16="",0,M16))))</f>
        <v>1202</v>
      </c>
      <c r="O16" t="str">
        <f>IF(N16="","",IF(N16&gt;=Instellingen!$B$22,"Absolute top",IF(N16&gt;=Instellingen!$B$23,"Kopman",IF(N16&gt;=Instellingen!$B$24,"Sterke keuze",IF(N16&gt;=Instellingen!$B$25,"Bruikbaar","Gok")))))</f>
        <v>Sterke keuze</v>
      </c>
      <c r="P16" t="str">
        <f>IF(A16="","",IF(D16="","Rol invullen","Compleet"))</f>
        <v>Compleet</v>
      </c>
      <c r="Q16" t="s">
        <v>171</v>
      </c>
    </row>
    <row r="17" spans="1:17">
      <c r="A17" t="s">
        <v>69</v>
      </c>
      <c r="B17" t="s">
        <v>62</v>
      </c>
      <c r="C17" t="s">
        <v>21</v>
      </c>
      <c r="D17" t="s">
        <v>70</v>
      </c>
      <c r="E17">
        <v>1802</v>
      </c>
      <c r="F17">
        <v>8343</v>
      </c>
      <c r="G17">
        <v>570</v>
      </c>
      <c r="H17">
        <v>1929</v>
      </c>
      <c r="I17">
        <f>IF(D17="","",IFERROR(VLOOKUP(D17,Instellingen!$D$5:$E$13,2,FALSE),""))</f>
        <v>90</v>
      </c>
      <c r="J17">
        <f>IF(C17="","",IF(C17="Ja",100,0))</f>
        <v>0</v>
      </c>
      <c r="K17">
        <f>IF(D17="","",SUM(I17*Instellingen!$B$5,J17*Instellingen!$B$6,IFERROR(E17/MAX($E$6:$E$189)*100,0)*Instellingen!$B$7,IFERROR(F17/MAX($F$6:$F$189)*100,0)*Instellingen!$B$8,IFERROR(G17/MAX($G$6:$G$189)*100,0)*Instellingen!$B$9,IFERROR(H17/MAX($H$6:$H$189)*100,0)*Instellingen!$B$10)/SUM(Instellingen!$B$5:$B$10))</f>
        <v>37.810379251531366</v>
      </c>
      <c r="L17">
        <f>IF(K17="","",ROUND((Instellingen!$B$16+(Instellingen!$B$17-Instellingen!$B$16)*POWER(K17/100,Instellingen!$B$18))/Instellingen!$B$19,0)*Instellingen!$B$19)</f>
        <v>1295</v>
      </c>
      <c r="N17">
        <f>IF(L17="","",MAX(Instellingen!$B$16,MIN(Instellingen!$B$17,L17+IF(M17="",0,M17))))</f>
        <v>1295</v>
      </c>
      <c r="O17" t="str">
        <f>IF(N17="","",IF(N17&gt;=Instellingen!$B$22,"Absolute top",IF(N17&gt;=Instellingen!$B$23,"Kopman",IF(N17&gt;=Instellingen!$B$24,"Sterke keuze",IF(N17&gt;=Instellingen!$B$25,"Bruikbaar","Gok")))))</f>
        <v>Sterke keuze</v>
      </c>
      <c r="P17" t="str">
        <f>IF(A17="","",IF(D17="","Rol invullen","Compleet"))</f>
        <v>Compleet</v>
      </c>
      <c r="Q17" t="s">
        <v>71</v>
      </c>
    </row>
    <row r="18" spans="1:17">
      <c r="A18" t="s">
        <v>107</v>
      </c>
      <c r="B18" t="s">
        <v>105</v>
      </c>
      <c r="C18" t="s">
        <v>21</v>
      </c>
      <c r="D18" t="s">
        <v>22</v>
      </c>
      <c r="E18">
        <v>3241</v>
      </c>
      <c r="F18">
        <v>2775</v>
      </c>
      <c r="G18">
        <v>2750</v>
      </c>
      <c r="H18">
        <v>1121</v>
      </c>
      <c r="I18">
        <f>IF(D18="","",IFERROR(VLOOKUP(D18,Instellingen!$D$5:$E$13,2,FALSE),""))</f>
        <v>100</v>
      </c>
      <c r="J18">
        <f>IF(C18="","",IF(C18="Ja",100,0))</f>
        <v>0</v>
      </c>
      <c r="K18">
        <f>IF(D18="","",SUM(I18*Instellingen!$B$5,J18*Instellingen!$B$6,IFERROR(E18/MAX($E$6:$E$189)*100,0)*Instellingen!$B$7,IFERROR(F18/MAX($F$6:$F$189)*100,0)*Instellingen!$B$8,IFERROR(G18/MAX($G$6:$G$189)*100,0)*Instellingen!$B$9,IFERROR(H18/MAX($H$6:$H$189)*100,0)*Instellingen!$B$10)/SUM(Instellingen!$B$5:$B$10))</f>
        <v>37.745143846736994</v>
      </c>
      <c r="L18">
        <f>IF(K18="","",ROUND((Instellingen!$B$16+(Instellingen!$B$17-Instellingen!$B$16)*POWER(K18/100,Instellingen!$B$18))/Instellingen!$B$19,0)*Instellingen!$B$19)</f>
        <v>1293</v>
      </c>
      <c r="N18">
        <f>IF(L18="","",MAX(Instellingen!$B$16,MIN(Instellingen!$B$17,L18+IF(M18="",0,M18))))</f>
        <v>1293</v>
      </c>
      <c r="O18" t="str">
        <f>IF(N18="","",IF(N18&gt;=Instellingen!$B$22,"Absolute top",IF(N18&gt;=Instellingen!$B$23,"Kopman",IF(N18&gt;=Instellingen!$B$24,"Sterke keuze",IF(N18&gt;=Instellingen!$B$25,"Bruikbaar","Gok")))))</f>
        <v>Sterke keuze</v>
      </c>
      <c r="P18" t="str">
        <f>IF(A18="","",IF(D18="","Rol invullen","Compleet"))</f>
        <v>Compleet</v>
      </c>
      <c r="Q18" t="s">
        <v>108</v>
      </c>
    </row>
    <row r="19" spans="1:17">
      <c r="A19" t="s">
        <v>59</v>
      </c>
      <c r="B19" t="s">
        <v>57</v>
      </c>
      <c r="C19" t="s">
        <v>25</v>
      </c>
      <c r="D19" t="s">
        <v>22</v>
      </c>
      <c r="E19">
        <v>2156</v>
      </c>
      <c r="F19">
        <v>305</v>
      </c>
      <c r="G19">
        <v>1848</v>
      </c>
      <c r="H19">
        <v>321</v>
      </c>
      <c r="I19">
        <f>IF(D19="","",IFERROR(VLOOKUP(D19,Instellingen!$D$5:$E$13,2,FALSE),""))</f>
        <v>100</v>
      </c>
      <c r="J19">
        <f>IF(C19="","",IF(C19="Ja",100,0))</f>
        <v>100</v>
      </c>
      <c r="K19">
        <f>IF(D19="","",SUM(I19*Instellingen!$B$5,J19*Instellingen!$B$6,IFERROR(E19/MAX($E$6:$E$189)*100,0)*Instellingen!$B$7,IFERROR(F19/MAX($F$6:$F$189)*100,0)*Instellingen!$B$8,IFERROR(G19/MAX($G$6:$G$189)*100,0)*Instellingen!$B$9,IFERROR(H19/MAX($H$6:$H$189)*100,0)*Instellingen!$B$10)/SUM(Instellingen!$B$5:$B$10))</f>
        <v>37.112358520757518</v>
      </c>
      <c r="L19">
        <f>IF(K19="","",ROUND((Instellingen!$B$16+(Instellingen!$B$17-Instellingen!$B$16)*POWER(K19/100,Instellingen!$B$18))/Instellingen!$B$19,0)*Instellingen!$B$19)</f>
        <v>1271</v>
      </c>
      <c r="N19">
        <f>IF(L19="","",MAX(Instellingen!$B$16,MIN(Instellingen!$B$17,L19+IF(M19="",0,M19))))</f>
        <v>1271</v>
      </c>
      <c r="O19" t="str">
        <f>IF(N19="","",IF(N19&gt;=Instellingen!$B$22,"Absolute top",IF(N19&gt;=Instellingen!$B$23,"Kopman",IF(N19&gt;=Instellingen!$B$24,"Sterke keuze",IF(N19&gt;=Instellingen!$B$25,"Bruikbaar","Gok")))))</f>
        <v>Sterke keuze</v>
      </c>
      <c r="P19" t="str">
        <f>IF(A19="","",IF(D19="","Rol invullen","Compleet"))</f>
        <v>Compleet</v>
      </c>
      <c r="Q19" t="s">
        <v>60</v>
      </c>
    </row>
    <row r="20" spans="1:17">
      <c r="A20" t="s">
        <v>380</v>
      </c>
      <c r="B20" t="s">
        <v>105</v>
      </c>
      <c r="C20" t="s">
        <v>21</v>
      </c>
      <c r="D20" t="s">
        <v>22</v>
      </c>
      <c r="E20">
        <v>3681</v>
      </c>
      <c r="F20">
        <v>930</v>
      </c>
      <c r="G20">
        <v>3070</v>
      </c>
      <c r="H20">
        <v>276</v>
      </c>
      <c r="I20">
        <f>IF(D20="","",IFERROR(VLOOKUP(D20,Instellingen!$D$5:$E$13,2,FALSE),""))</f>
        <v>100</v>
      </c>
      <c r="J20">
        <f>IF(C20="","",IF(C20="Ja",100,0))</f>
        <v>0</v>
      </c>
      <c r="K20">
        <f>IF(D20="","",SUM(I20*Instellingen!$B$5,J20*Instellingen!$B$6,IFERROR(E20/MAX($E$6:$E$189)*100,0)*Instellingen!$B$7,IFERROR(F20/MAX($F$6:$F$189)*100,0)*Instellingen!$B$8,IFERROR(G20/MAX($G$6:$G$189)*100,0)*Instellingen!$B$9,IFERROR(H20/MAX($H$6:$H$189)*100,0)*Instellingen!$B$10)/SUM(Instellingen!$B$5:$B$10))</f>
        <v>36.068574208243916</v>
      </c>
      <c r="L20">
        <f>IF(K20="","",ROUND((Instellingen!$B$16+(Instellingen!$B$17-Instellingen!$B$16)*POWER(K20/100,Instellingen!$B$18))/Instellingen!$B$19,0)*Instellingen!$B$19)</f>
        <v>1234</v>
      </c>
      <c r="N20">
        <f>IF(L20="","",MAX(Instellingen!$B$16,MIN(Instellingen!$B$17,L20+IF(M20="",0,M20))))</f>
        <v>1234</v>
      </c>
      <c r="O20" t="str">
        <f>IF(N20="","",IF(N20&gt;=Instellingen!$B$22,"Absolute top",IF(N20&gt;=Instellingen!$B$23,"Kopman",IF(N20&gt;=Instellingen!$B$24,"Sterke keuze",IF(N20&gt;=Instellingen!$B$25,"Bruikbaar","Gok")))))</f>
        <v>Sterke keuze</v>
      </c>
      <c r="P20" t="str">
        <f>IF(A20="","",IF(D20="","Rol invullen","Compleet"))</f>
        <v>Compleet</v>
      </c>
      <c r="Q20" t="s">
        <v>381</v>
      </c>
    </row>
    <row r="21" spans="1:17">
      <c r="A21" t="s">
        <v>61</v>
      </c>
      <c r="B21" t="s">
        <v>62</v>
      </c>
      <c r="C21" t="s">
        <v>21</v>
      </c>
      <c r="D21" t="s">
        <v>22</v>
      </c>
      <c r="E21">
        <v>2640</v>
      </c>
      <c r="F21">
        <v>2192</v>
      </c>
      <c r="G21">
        <v>3006</v>
      </c>
      <c r="H21">
        <v>1370</v>
      </c>
      <c r="I21">
        <f>IF(D21="","",IFERROR(VLOOKUP(D21,Instellingen!$D$5:$E$13,2,FALSE),""))</f>
        <v>100</v>
      </c>
      <c r="J21">
        <f>IF(C21="","",IF(C21="Ja",100,0))</f>
        <v>0</v>
      </c>
      <c r="K21">
        <f>IF(D21="","",SUM(I21*Instellingen!$B$5,J21*Instellingen!$B$6,IFERROR(E21/MAX($E$6:$E$189)*100,0)*Instellingen!$B$7,IFERROR(F21/MAX($F$6:$F$189)*100,0)*Instellingen!$B$8,IFERROR(G21/MAX($G$6:$G$189)*100,0)*Instellingen!$B$9,IFERROR(H21/MAX($H$6:$H$189)*100,0)*Instellingen!$B$10)/SUM(Instellingen!$B$5:$B$10))</f>
        <v>34.821675656422286</v>
      </c>
      <c r="L21">
        <f>IF(K21="","",ROUND((Instellingen!$B$16+(Instellingen!$B$17-Instellingen!$B$16)*POWER(K21/100,Instellingen!$B$18))/Instellingen!$B$19,0)*Instellingen!$B$19)</f>
        <v>1191</v>
      </c>
      <c r="N21">
        <f>IF(L21="","",MAX(Instellingen!$B$16,MIN(Instellingen!$B$17,L21+IF(M21="",0,M21))))</f>
        <v>1191</v>
      </c>
      <c r="O21" t="str">
        <f>IF(N21="","",IF(N21&gt;=Instellingen!$B$22,"Absolute top",IF(N21&gt;=Instellingen!$B$23,"Kopman",IF(N21&gt;=Instellingen!$B$24,"Sterke keuze",IF(N21&gt;=Instellingen!$B$25,"Bruikbaar","Gok")))))</f>
        <v>Sterke keuze</v>
      </c>
      <c r="P21" t="str">
        <f>IF(A21="","",IF(D21="","Rol invullen","Compleet"))</f>
        <v>Compleet</v>
      </c>
      <c r="Q21" t="s">
        <v>63</v>
      </c>
    </row>
    <row r="22" spans="1:17">
      <c r="A22" t="s">
        <v>225</v>
      </c>
      <c r="B22" t="s">
        <v>223</v>
      </c>
      <c r="C22" t="s">
        <v>21</v>
      </c>
      <c r="D22" t="s">
        <v>22</v>
      </c>
      <c r="E22">
        <v>3369</v>
      </c>
      <c r="F22">
        <v>894</v>
      </c>
      <c r="G22">
        <v>2974</v>
      </c>
      <c r="H22">
        <v>233</v>
      </c>
      <c r="I22">
        <f>IF(D22="","",IFERROR(VLOOKUP(D22,Instellingen!$D$5:$E$13,2,FALSE),""))</f>
        <v>100</v>
      </c>
      <c r="J22">
        <f>IF(C22="","",IF(C22="Ja",100,0))</f>
        <v>0</v>
      </c>
      <c r="K22">
        <f>IF(D22="","",SUM(I22*Instellingen!$B$5,J22*Instellingen!$B$6,IFERROR(E22/MAX($E$6:$E$189)*100,0)*Instellingen!$B$7,IFERROR(F22/MAX($F$6:$F$189)*100,0)*Instellingen!$B$8,IFERROR(G22/MAX($G$6:$G$189)*100,0)*Instellingen!$B$9,IFERROR(H22/MAX($H$6:$H$189)*100,0)*Instellingen!$B$10)/SUM(Instellingen!$B$5:$B$10))</f>
        <v>34.569090647603801</v>
      </c>
      <c r="L22">
        <f>IF(K22="","",ROUND((Instellingen!$B$16+(Instellingen!$B$17-Instellingen!$B$16)*POWER(K22/100,Instellingen!$B$18))/Instellingen!$B$19,0)*Instellingen!$B$19)</f>
        <v>1182</v>
      </c>
      <c r="N22">
        <f>IF(L22="","",MAX(Instellingen!$B$16,MIN(Instellingen!$B$17,L22+IF(M22="",0,M22))))</f>
        <v>1182</v>
      </c>
      <c r="O22" t="str">
        <f>IF(N22="","",IF(N22&gt;=Instellingen!$B$22,"Absolute top",IF(N22&gt;=Instellingen!$B$23,"Kopman",IF(N22&gt;=Instellingen!$B$24,"Sterke keuze",IF(N22&gt;=Instellingen!$B$25,"Bruikbaar","Gok")))))</f>
        <v>Sterke keuze</v>
      </c>
      <c r="P22" t="str">
        <f>IF(A22="","",IF(D22="","Rol invullen","Compleet"))</f>
        <v>Compleet</v>
      </c>
      <c r="Q22" t="s">
        <v>226</v>
      </c>
    </row>
    <row r="23" spans="1:17">
      <c r="A23" t="s">
        <v>348</v>
      </c>
      <c r="B23" t="s">
        <v>162</v>
      </c>
      <c r="C23" t="s">
        <v>21</v>
      </c>
      <c r="D23" t="s">
        <v>22</v>
      </c>
      <c r="E23">
        <v>3232</v>
      </c>
      <c r="F23">
        <v>283</v>
      </c>
      <c r="G23">
        <v>4108</v>
      </c>
      <c r="H23">
        <v>331</v>
      </c>
      <c r="I23">
        <f>IF(D23="","",IFERROR(VLOOKUP(D23,Instellingen!$D$5:$E$13,2,FALSE),""))</f>
        <v>100</v>
      </c>
      <c r="J23">
        <f>IF(C23="","",IF(C23="Ja",100,0))</f>
        <v>0</v>
      </c>
      <c r="K23">
        <f>IF(D23="","",SUM(I23*Instellingen!$B$5,J23*Instellingen!$B$6,IFERROR(E23/MAX($E$6:$E$189)*100,0)*Instellingen!$B$7,IFERROR(F23/MAX($F$6:$F$189)*100,0)*Instellingen!$B$8,IFERROR(G23/MAX($G$6:$G$189)*100,0)*Instellingen!$B$9,IFERROR(H23/MAX($H$6:$H$189)*100,0)*Instellingen!$B$10)/SUM(Instellingen!$B$5:$B$10))</f>
        <v>34.576842383113906</v>
      </c>
      <c r="L23">
        <f>IF(K23="","",ROUND((Instellingen!$B$16+(Instellingen!$B$17-Instellingen!$B$16)*POWER(K23/100,Instellingen!$B$18))/Instellingen!$B$19,0)*Instellingen!$B$19)</f>
        <v>1182</v>
      </c>
      <c r="N23">
        <f>IF(L23="","",MAX(Instellingen!$B$16,MIN(Instellingen!$B$17,L23+IF(M23="",0,M23))))</f>
        <v>1182</v>
      </c>
      <c r="O23" t="str">
        <f>IF(N23="","",IF(N23&gt;=Instellingen!$B$22,"Absolute top",IF(N23&gt;=Instellingen!$B$23,"Kopman",IF(N23&gt;=Instellingen!$B$24,"Sterke keuze",IF(N23&gt;=Instellingen!$B$25,"Bruikbaar","Gok")))))</f>
        <v>Sterke keuze</v>
      </c>
      <c r="P23" t="str">
        <f>IF(A23="","",IF(D23="","Rol invullen","Compleet"))</f>
        <v>Compleet</v>
      </c>
      <c r="Q23" t="s">
        <v>349</v>
      </c>
    </row>
    <row r="24" spans="1:17">
      <c r="A24" t="s">
        <v>222</v>
      </c>
      <c r="B24" t="s">
        <v>223</v>
      </c>
      <c r="C24" t="s">
        <v>21</v>
      </c>
      <c r="D24" t="s">
        <v>70</v>
      </c>
      <c r="E24">
        <v>1305</v>
      </c>
      <c r="F24">
        <v>7962</v>
      </c>
      <c r="G24">
        <v>238</v>
      </c>
      <c r="H24">
        <v>289</v>
      </c>
      <c r="I24">
        <f>IF(D24="","",IFERROR(VLOOKUP(D24,Instellingen!$D$5:$E$13,2,FALSE),""))</f>
        <v>90</v>
      </c>
      <c r="J24">
        <f>IF(C24="","",IF(C24="Ja",100,0))</f>
        <v>0</v>
      </c>
      <c r="K24">
        <f>IF(D24="","",SUM(I24*Instellingen!$B$5,J24*Instellingen!$B$6,IFERROR(E24/MAX($E$6:$E$189)*100,0)*Instellingen!$B$7,IFERROR(F24/MAX($F$6:$F$189)*100,0)*Instellingen!$B$8,IFERROR(G24/MAX($G$6:$G$189)*100,0)*Instellingen!$B$9,IFERROR(H24/MAX($H$6:$H$189)*100,0)*Instellingen!$B$10)/SUM(Instellingen!$B$5:$B$10))</f>
        <v>33.371379117684121</v>
      </c>
      <c r="L24">
        <f>IF(K24="","",ROUND((Instellingen!$B$16+(Instellingen!$B$17-Instellingen!$B$16)*POWER(K24/100,Instellingen!$B$18))/Instellingen!$B$19,0)*Instellingen!$B$19)</f>
        <v>1141</v>
      </c>
      <c r="N24">
        <f>IF(L24="","",MAX(Instellingen!$B$16,MIN(Instellingen!$B$17,L24+IF(M24="",0,M24))))</f>
        <v>1141</v>
      </c>
      <c r="O24" t="str">
        <f>IF(N24="","",IF(N24&gt;=Instellingen!$B$22,"Absolute top",IF(N24&gt;=Instellingen!$B$23,"Kopman",IF(N24&gt;=Instellingen!$B$24,"Sterke keuze",IF(N24&gt;=Instellingen!$B$25,"Bruikbaar","Gok")))))</f>
        <v>Sterke keuze</v>
      </c>
      <c r="P24" t="str">
        <f>IF(A24="","",IF(D24="","Rol invullen","Compleet"))</f>
        <v>Compleet</v>
      </c>
      <c r="Q24" t="s">
        <v>224</v>
      </c>
    </row>
    <row r="25" spans="1:17">
      <c r="A25" t="s">
        <v>406</v>
      </c>
      <c r="B25" t="s">
        <v>57</v>
      </c>
      <c r="C25" t="s">
        <v>21</v>
      </c>
      <c r="D25" t="s">
        <v>22</v>
      </c>
      <c r="E25">
        <v>3078</v>
      </c>
      <c r="F25">
        <v>761</v>
      </c>
      <c r="G25">
        <v>2539</v>
      </c>
      <c r="H25">
        <v>316</v>
      </c>
      <c r="I25">
        <f>IF(D25="","",IFERROR(VLOOKUP(D25,Instellingen!$D$5:$E$13,2,FALSE),""))</f>
        <v>100</v>
      </c>
      <c r="J25">
        <f>IF(C25="","",IF(C25="Ja",100,0))</f>
        <v>0</v>
      </c>
      <c r="K25">
        <f>IF(D25="","",SUM(I25*Instellingen!$B$5,J25*Instellingen!$B$6,IFERROR(E25/MAX($E$6:$E$189)*100,0)*Instellingen!$B$7,IFERROR(F25/MAX($F$6:$F$189)*100,0)*Instellingen!$B$8,IFERROR(G25/MAX($G$6:$G$189)*100,0)*Instellingen!$B$9,IFERROR(H25/MAX($H$6:$H$189)*100,0)*Instellingen!$B$10)/SUM(Instellingen!$B$5:$B$10))</f>
        <v>32.616160455145966</v>
      </c>
      <c r="L25">
        <f>IF(K25="","",ROUND((Instellingen!$B$16+(Instellingen!$B$17-Instellingen!$B$16)*POWER(K25/100,Instellingen!$B$18))/Instellingen!$B$19,0)*Instellingen!$B$19)</f>
        <v>1115</v>
      </c>
      <c r="N25">
        <f>IF(L25="","",MAX(Instellingen!$B$16,MIN(Instellingen!$B$17,L25+IF(M25="",0,M25))))</f>
        <v>1115</v>
      </c>
      <c r="O25" t="str">
        <f>IF(N25="","",IF(N25&gt;=Instellingen!$B$22,"Absolute top",IF(N25&gt;=Instellingen!$B$23,"Kopman",IF(N25&gt;=Instellingen!$B$24,"Sterke keuze",IF(N25&gt;=Instellingen!$B$25,"Bruikbaar","Gok")))))</f>
        <v>Sterke keuze</v>
      </c>
      <c r="P25" t="str">
        <f>IF(A25="","",IF(D25="","Rol invullen","Compleet"))</f>
        <v>Compleet</v>
      </c>
      <c r="Q25" t="s">
        <v>407</v>
      </c>
    </row>
    <row r="26" spans="1:17">
      <c r="A26" t="s">
        <v>172</v>
      </c>
      <c r="B26" t="s">
        <v>162</v>
      </c>
      <c r="C26" t="s">
        <v>21</v>
      </c>
      <c r="D26" t="s">
        <v>70</v>
      </c>
      <c r="E26">
        <v>1135</v>
      </c>
      <c r="F26">
        <v>7271</v>
      </c>
      <c r="G26">
        <v>403</v>
      </c>
      <c r="H26">
        <v>989</v>
      </c>
      <c r="I26">
        <f>IF(D26="","",IFERROR(VLOOKUP(D26,Instellingen!$D$5:$E$13,2,FALSE),""))</f>
        <v>90</v>
      </c>
      <c r="J26">
        <f>IF(C26="","",IF(C26="Ja",100,0))</f>
        <v>0</v>
      </c>
      <c r="K26">
        <f>IF(D26="","",SUM(I26*Instellingen!$B$5,J26*Instellingen!$B$6,IFERROR(E26/MAX($E$6:$E$189)*100,0)*Instellingen!$B$7,IFERROR(F26/MAX($F$6:$F$189)*100,0)*Instellingen!$B$8,IFERROR(G26/MAX($G$6:$G$189)*100,0)*Instellingen!$B$9,IFERROR(H26/MAX($H$6:$H$189)*100,0)*Instellingen!$B$10)/SUM(Instellingen!$B$5:$B$10))</f>
        <v>32.24122087769247</v>
      </c>
      <c r="L26">
        <f>IF(K26="","",ROUND((Instellingen!$B$16+(Instellingen!$B$17-Instellingen!$B$16)*POWER(K26/100,Instellingen!$B$18))/Instellingen!$B$19,0)*Instellingen!$B$19)</f>
        <v>1103</v>
      </c>
      <c r="N26">
        <f>IF(L26="","",MAX(Instellingen!$B$16,MIN(Instellingen!$B$17,L26+IF(M26="",0,M26))))</f>
        <v>1103</v>
      </c>
      <c r="O26" t="str">
        <f>IF(N26="","",IF(N26&gt;=Instellingen!$B$22,"Absolute top",IF(N26&gt;=Instellingen!$B$23,"Kopman",IF(N26&gt;=Instellingen!$B$24,"Sterke keuze",IF(N26&gt;=Instellingen!$B$25,"Bruikbaar","Gok")))))</f>
        <v>Sterke keuze</v>
      </c>
      <c r="P26" t="str">
        <f>IF(A26="","",IF(D26="","Rol invullen","Compleet"))</f>
        <v>Compleet</v>
      </c>
      <c r="Q26" t="s">
        <v>173</v>
      </c>
    </row>
    <row r="27" spans="1:17">
      <c r="A27" t="s">
        <v>220</v>
      </c>
      <c r="B27" t="s">
        <v>218</v>
      </c>
      <c r="C27" t="s">
        <v>21</v>
      </c>
      <c r="D27" t="s">
        <v>70</v>
      </c>
      <c r="E27">
        <v>1699</v>
      </c>
      <c r="F27">
        <v>3418</v>
      </c>
      <c r="G27">
        <v>552</v>
      </c>
      <c r="H27">
        <v>6366</v>
      </c>
      <c r="I27">
        <f>IF(D27="","",IFERROR(VLOOKUP(D27,Instellingen!$D$5:$E$13,2,FALSE),""))</f>
        <v>90</v>
      </c>
      <c r="J27">
        <f>IF(C27="","",IF(C27="Ja",100,0))</f>
        <v>0</v>
      </c>
      <c r="K27">
        <f>IF(D27="","",SUM(I27*Instellingen!$B$5,J27*Instellingen!$B$6,IFERROR(E27/MAX($E$6:$E$189)*100,0)*Instellingen!$B$7,IFERROR(F27/MAX($F$6:$F$189)*100,0)*Instellingen!$B$8,IFERROR(G27/MAX($G$6:$G$189)*100,0)*Instellingen!$B$9,IFERROR(H27/MAX($H$6:$H$189)*100,0)*Instellingen!$B$10)/SUM(Instellingen!$B$5:$B$10))</f>
        <v>32.188817195232843</v>
      </c>
      <c r="L27">
        <f>IF(K27="","",ROUND((Instellingen!$B$16+(Instellingen!$B$17-Instellingen!$B$16)*POWER(K27/100,Instellingen!$B$18))/Instellingen!$B$19,0)*Instellingen!$B$19)</f>
        <v>1101</v>
      </c>
      <c r="N27">
        <f>IF(L27="","",MAX(Instellingen!$B$16,MIN(Instellingen!$B$17,L27+IF(M27="",0,M27))))</f>
        <v>1101</v>
      </c>
      <c r="O27" t="str">
        <f>IF(N27="","",IF(N27&gt;=Instellingen!$B$22,"Absolute top",IF(N27&gt;=Instellingen!$B$23,"Kopman",IF(N27&gt;=Instellingen!$B$24,"Sterke keuze",IF(N27&gt;=Instellingen!$B$25,"Bruikbaar","Gok")))))</f>
        <v>Sterke keuze</v>
      </c>
      <c r="P27" t="str">
        <f>IF(A27="","",IF(D27="","Rol invullen","Compleet"))</f>
        <v>Compleet</v>
      </c>
      <c r="Q27" t="s">
        <v>221</v>
      </c>
    </row>
    <row r="28" spans="1:17">
      <c r="A28" t="s">
        <v>242</v>
      </c>
      <c r="B28" t="s">
        <v>240</v>
      </c>
      <c r="C28" t="s">
        <v>21</v>
      </c>
      <c r="D28" t="s">
        <v>22</v>
      </c>
      <c r="E28">
        <v>2949</v>
      </c>
      <c r="F28">
        <v>213</v>
      </c>
      <c r="G28">
        <v>2654</v>
      </c>
      <c r="H28">
        <v>1143</v>
      </c>
      <c r="I28">
        <f>IF(D28="","",IFERROR(VLOOKUP(D28,Instellingen!$D$5:$E$13,2,FALSE),""))</f>
        <v>100</v>
      </c>
      <c r="J28">
        <f>IF(C28="","",IF(C28="Ja",100,0))</f>
        <v>0</v>
      </c>
      <c r="K28">
        <f>IF(D28="","",SUM(I28*Instellingen!$B$5,J28*Instellingen!$B$6,IFERROR(E28/MAX($E$6:$E$189)*100,0)*Instellingen!$B$7,IFERROR(F28/MAX($F$6:$F$189)*100,0)*Instellingen!$B$8,IFERROR(G28/MAX($G$6:$G$189)*100,0)*Instellingen!$B$9,IFERROR(H28/MAX($H$6:$H$189)*100,0)*Instellingen!$B$10)/SUM(Instellingen!$B$5:$B$10))</f>
        <v>31.935246021611452</v>
      </c>
      <c r="L28">
        <f>IF(K28="","",ROUND((Instellingen!$B$16+(Instellingen!$B$17-Instellingen!$B$16)*POWER(K28/100,Instellingen!$B$18))/Instellingen!$B$19,0)*Instellingen!$B$19)</f>
        <v>1092</v>
      </c>
      <c r="N28">
        <f>IF(L28="","",MAX(Instellingen!$B$16,MIN(Instellingen!$B$17,L28+IF(M28="",0,M28))))</f>
        <v>1092</v>
      </c>
      <c r="O28" t="str">
        <f>IF(N28="","",IF(N28&gt;=Instellingen!$B$22,"Absolute top",IF(N28&gt;=Instellingen!$B$23,"Kopman",IF(N28&gt;=Instellingen!$B$24,"Sterke keuze",IF(N28&gt;=Instellingen!$B$25,"Bruikbaar","Gok")))))</f>
        <v>Bruikbaar</v>
      </c>
      <c r="P28" t="str">
        <f>IF(A28="","",IF(D28="","Rol invullen","Compleet"))</f>
        <v>Compleet</v>
      </c>
      <c r="Q28" t="s">
        <v>243</v>
      </c>
    </row>
    <row r="29" spans="1:17">
      <c r="A29" t="s">
        <v>181</v>
      </c>
      <c r="B29" t="s">
        <v>175</v>
      </c>
      <c r="C29" t="s">
        <v>21</v>
      </c>
      <c r="D29" t="s">
        <v>22</v>
      </c>
      <c r="E29">
        <v>2668</v>
      </c>
      <c r="F29">
        <v>1487</v>
      </c>
      <c r="G29">
        <v>2134</v>
      </c>
      <c r="H29">
        <v>506</v>
      </c>
      <c r="I29">
        <f>IF(D29="","",IFERROR(VLOOKUP(D29,Instellingen!$D$5:$E$13,2,FALSE),""))</f>
        <v>100</v>
      </c>
      <c r="J29">
        <f>IF(C29="","",IF(C29="Ja",100,0))</f>
        <v>0</v>
      </c>
      <c r="K29">
        <f>IF(D29="","",SUM(I29*Instellingen!$B$5,J29*Instellingen!$B$6,IFERROR(E29/MAX($E$6:$E$189)*100,0)*Instellingen!$B$7,IFERROR(F29/MAX($F$6:$F$189)*100,0)*Instellingen!$B$8,IFERROR(G29/MAX($G$6:$G$189)*100,0)*Instellingen!$B$9,IFERROR(H29/MAX($H$6:$H$189)*100,0)*Instellingen!$B$10)/SUM(Instellingen!$B$5:$B$10))</f>
        <v>31.815069150711441</v>
      </c>
      <c r="L29">
        <f>IF(K29="","",ROUND((Instellingen!$B$16+(Instellingen!$B$17-Instellingen!$B$16)*POWER(K29/100,Instellingen!$B$18))/Instellingen!$B$19,0)*Instellingen!$B$19)</f>
        <v>1088</v>
      </c>
      <c r="N29">
        <f>IF(L29="","",MAX(Instellingen!$B$16,MIN(Instellingen!$B$17,L29+IF(M29="",0,M29))))</f>
        <v>1088</v>
      </c>
      <c r="O29" t="str">
        <f>IF(N29="","",IF(N29&gt;=Instellingen!$B$22,"Absolute top",IF(N29&gt;=Instellingen!$B$23,"Kopman",IF(N29&gt;=Instellingen!$B$24,"Sterke keuze",IF(N29&gt;=Instellingen!$B$25,"Bruikbaar","Gok")))))</f>
        <v>Bruikbaar</v>
      </c>
      <c r="P29" t="str">
        <f>IF(A29="","",IF(D29="","Rol invullen","Compleet"))</f>
        <v>Compleet</v>
      </c>
      <c r="Q29" t="s">
        <v>182</v>
      </c>
    </row>
    <row r="30" spans="1:17">
      <c r="A30" t="s">
        <v>40</v>
      </c>
      <c r="B30" t="s">
        <v>38</v>
      </c>
      <c r="C30" t="s">
        <v>21</v>
      </c>
      <c r="D30" t="s">
        <v>22</v>
      </c>
      <c r="E30">
        <v>2455</v>
      </c>
      <c r="F30">
        <v>343</v>
      </c>
      <c r="G30">
        <v>3444</v>
      </c>
      <c r="H30">
        <v>259</v>
      </c>
      <c r="I30">
        <f>IF(D30="","",IFERROR(VLOOKUP(D30,Instellingen!$D$5:$E$13,2,FALSE),""))</f>
        <v>100</v>
      </c>
      <c r="J30">
        <f>IF(C30="","",IF(C30="Ja",100,0))</f>
        <v>0</v>
      </c>
      <c r="K30">
        <f>IF(D30="","",SUM(I30*Instellingen!$B$5,J30*Instellingen!$B$6,IFERROR(E30/MAX($E$6:$E$189)*100,0)*Instellingen!$B$7,IFERROR(F30/MAX($F$6:$F$189)*100,0)*Instellingen!$B$8,IFERROR(G30/MAX($G$6:$G$189)*100,0)*Instellingen!$B$9,IFERROR(H30/MAX($H$6:$H$189)*100,0)*Instellingen!$B$10)/SUM(Instellingen!$B$5:$B$10))</f>
        <v>30.547605775828025</v>
      </c>
      <c r="L30">
        <f>IF(K30="","",ROUND((Instellingen!$B$16+(Instellingen!$B$17-Instellingen!$B$16)*POWER(K30/100,Instellingen!$B$18))/Instellingen!$B$19,0)*Instellingen!$B$19)</f>
        <v>1046</v>
      </c>
      <c r="M30">
        <v>500</v>
      </c>
      <c r="N30">
        <f>IF(L30="","",MAX(Instellingen!$B$16,MIN(Instellingen!$B$17,L30+IF(M30="",0,M30))))</f>
        <v>1546</v>
      </c>
      <c r="O30" t="str">
        <f>IF(N30="","",IF(N30&gt;=Instellingen!$B$22,"Absolute top",IF(N30&gt;=Instellingen!$B$23,"Kopman",IF(N30&gt;=Instellingen!$B$24,"Sterke keuze",IF(N30&gt;=Instellingen!$B$25,"Bruikbaar","Gok")))))</f>
        <v>Sterke keuze</v>
      </c>
      <c r="P30" t="str">
        <f>IF(A30="","",IF(D30="","Rol invullen","Compleet"))</f>
        <v>Compleet</v>
      </c>
      <c r="Q30" t="s">
        <v>41</v>
      </c>
    </row>
    <row r="31" spans="1:17">
      <c r="A31" t="s">
        <v>350</v>
      </c>
      <c r="B31" t="s">
        <v>192</v>
      </c>
      <c r="C31" t="s">
        <v>21</v>
      </c>
      <c r="D31" t="s">
        <v>22</v>
      </c>
      <c r="E31">
        <v>2063</v>
      </c>
      <c r="F31">
        <v>1016</v>
      </c>
      <c r="G31">
        <v>2430</v>
      </c>
      <c r="H31">
        <v>105</v>
      </c>
      <c r="I31">
        <f>IF(D31="","",IFERROR(VLOOKUP(D31,Instellingen!$D$5:$E$13,2,FALSE),""))</f>
        <v>100</v>
      </c>
      <c r="J31">
        <f>IF(C31="","",IF(C31="Ja",100,0))</f>
        <v>0</v>
      </c>
      <c r="K31">
        <f>IF(D31="","",SUM(I31*Instellingen!$B$5,J31*Instellingen!$B$6,IFERROR(E31/MAX($E$6:$E$189)*100,0)*Instellingen!$B$7,IFERROR(F31/MAX($F$6:$F$189)*100,0)*Instellingen!$B$8,IFERROR(G31/MAX($G$6:$G$189)*100,0)*Instellingen!$B$9,IFERROR(H31/MAX($H$6:$H$189)*100,0)*Instellingen!$B$10)/SUM(Instellingen!$B$5:$B$10))</f>
        <v>28.616922713967742</v>
      </c>
      <c r="L31">
        <f>IF(K31="","",ROUND((Instellingen!$B$16+(Instellingen!$B$17-Instellingen!$B$16)*POWER(K31/100,Instellingen!$B$18))/Instellingen!$B$19,0)*Instellingen!$B$19)</f>
        <v>983</v>
      </c>
      <c r="M31">
        <v>400</v>
      </c>
      <c r="N31">
        <f>IF(L31="","",MAX(Instellingen!$B$16,MIN(Instellingen!$B$17,L31+IF(M31="",0,M31))))</f>
        <v>1383</v>
      </c>
      <c r="O31" t="str">
        <f>IF(N31="","",IF(N31&gt;=Instellingen!$B$22,"Absolute top",IF(N31&gt;=Instellingen!$B$23,"Kopman",IF(N31&gt;=Instellingen!$B$24,"Sterke keuze",IF(N31&gt;=Instellingen!$B$25,"Bruikbaar","Gok")))))</f>
        <v>Sterke keuze</v>
      </c>
      <c r="P31" t="str">
        <f>IF(A31="","",IF(D31="","Rol invullen","Compleet"))</f>
        <v>Compleet</v>
      </c>
      <c r="Q31" t="s">
        <v>351</v>
      </c>
    </row>
    <row r="32" spans="1:17">
      <c r="A32" t="s">
        <v>191</v>
      </c>
      <c r="B32" t="s">
        <v>192</v>
      </c>
      <c r="C32" t="s">
        <v>21</v>
      </c>
      <c r="D32" t="s">
        <v>70</v>
      </c>
      <c r="E32">
        <v>1493</v>
      </c>
      <c r="F32">
        <v>3633</v>
      </c>
      <c r="G32">
        <v>1234</v>
      </c>
      <c r="H32">
        <v>825</v>
      </c>
      <c r="I32">
        <f>IF(D32="","",IFERROR(VLOOKUP(D32,Instellingen!$D$5:$E$13,2,FALSE),""))</f>
        <v>90</v>
      </c>
      <c r="J32">
        <f>IF(C32="","",IF(C32="Ja",100,0))</f>
        <v>0</v>
      </c>
      <c r="K32">
        <f>IF(D32="","",SUM(I32*Instellingen!$B$5,J32*Instellingen!$B$6,IFERROR(E32/MAX($E$6:$E$189)*100,0)*Instellingen!$B$7,IFERROR(F32/MAX($F$6:$F$189)*100,0)*Instellingen!$B$8,IFERROR(G32/MAX($G$6:$G$189)*100,0)*Instellingen!$B$9,IFERROR(H32/MAX($H$6:$H$189)*100,0)*Instellingen!$B$10)/SUM(Instellingen!$B$5:$B$10))</f>
        <v>28.31646319527627</v>
      </c>
      <c r="L32">
        <f>IF(K32="","",ROUND((Instellingen!$B$16+(Instellingen!$B$17-Instellingen!$B$16)*POWER(K32/100,Instellingen!$B$18))/Instellingen!$B$19,0)*Instellingen!$B$19)</f>
        <v>974</v>
      </c>
      <c r="N32">
        <f>IF(L32="","",MAX(Instellingen!$B$16,MIN(Instellingen!$B$17,L32+IF(M32="",0,M32))))</f>
        <v>974</v>
      </c>
      <c r="O32" t="str">
        <f>IF(N32="","",IF(N32&gt;=Instellingen!$B$22,"Absolute top",IF(N32&gt;=Instellingen!$B$23,"Kopman",IF(N32&gt;=Instellingen!$B$24,"Sterke keuze",IF(N32&gt;=Instellingen!$B$25,"Bruikbaar","Gok")))))</f>
        <v>Bruikbaar</v>
      </c>
      <c r="P32" t="str">
        <f>IF(A32="","",IF(D32="","Rol invullen","Compleet"))</f>
        <v>Compleet</v>
      </c>
      <c r="Q32" t="s">
        <v>193</v>
      </c>
    </row>
    <row r="33" spans="1:17">
      <c r="A33" t="s">
        <v>320</v>
      </c>
      <c r="B33" t="s">
        <v>50</v>
      </c>
      <c r="C33" t="s">
        <v>21</v>
      </c>
      <c r="D33" t="s">
        <v>70</v>
      </c>
      <c r="E33">
        <v>1386</v>
      </c>
      <c r="F33">
        <v>3602</v>
      </c>
      <c r="G33">
        <v>1676</v>
      </c>
      <c r="H33">
        <v>93</v>
      </c>
      <c r="I33">
        <f>IF(D33="","",IFERROR(VLOOKUP(D33,Instellingen!$D$5:$E$13,2,FALSE),""))</f>
        <v>90</v>
      </c>
      <c r="J33">
        <f>IF(C33="","",IF(C33="Ja",100,0))</f>
        <v>0</v>
      </c>
      <c r="K33">
        <f>IF(D33="","",SUM(I33*Instellingen!$B$5,J33*Instellingen!$B$6,IFERROR(E33/MAX($E$6:$E$189)*100,0)*Instellingen!$B$7,IFERROR(F33/MAX($F$6:$F$189)*100,0)*Instellingen!$B$8,IFERROR(G33/MAX($G$6:$G$189)*100,0)*Instellingen!$B$9,IFERROR(H33/MAX($H$6:$H$189)*100,0)*Instellingen!$B$10)/SUM(Instellingen!$B$5:$B$10))</f>
        <v>27.860705807622523</v>
      </c>
      <c r="L33">
        <f>IF(K33="","",ROUND((Instellingen!$B$16+(Instellingen!$B$17-Instellingen!$B$16)*POWER(K33/100,Instellingen!$B$18))/Instellingen!$B$19,0)*Instellingen!$B$19)</f>
        <v>959</v>
      </c>
      <c r="N33">
        <f>IF(L33="","",MAX(Instellingen!$B$16,MIN(Instellingen!$B$17,L33+IF(M33="",0,M33))))</f>
        <v>959</v>
      </c>
      <c r="O33" t="str">
        <f>IF(N33="","",IF(N33&gt;=Instellingen!$B$22,"Absolute top",IF(N33&gt;=Instellingen!$B$23,"Kopman",IF(N33&gt;=Instellingen!$B$24,"Sterke keuze",IF(N33&gt;=Instellingen!$B$25,"Bruikbaar","Gok")))))</f>
        <v>Bruikbaar</v>
      </c>
      <c r="P33" t="str">
        <f>IF(A33="","",IF(D33="","Rol invullen","Compleet"))</f>
        <v>Compleet</v>
      </c>
      <c r="Q33" t="s">
        <v>321</v>
      </c>
    </row>
    <row r="34" spans="1:17">
      <c r="A34" t="s">
        <v>96</v>
      </c>
      <c r="B34" t="s">
        <v>92</v>
      </c>
      <c r="C34" t="s">
        <v>25</v>
      </c>
      <c r="D34" t="s">
        <v>30</v>
      </c>
      <c r="E34">
        <v>1402</v>
      </c>
      <c r="F34">
        <v>258</v>
      </c>
      <c r="G34">
        <v>1320</v>
      </c>
      <c r="H34">
        <v>88</v>
      </c>
      <c r="I34">
        <f>IF(D34="","",IFERROR(VLOOKUP(D34,Instellingen!$D$5:$E$13,2,FALSE),""))</f>
        <v>55</v>
      </c>
      <c r="J34">
        <f>IF(C34="","",IF(C34="Ja",100,0))</f>
        <v>100</v>
      </c>
      <c r="K34">
        <f>IF(D34="","",SUM(I34*Instellingen!$B$5,J34*Instellingen!$B$6,IFERROR(E34/MAX($E$6:$E$189)*100,0)*Instellingen!$B$7,IFERROR(F34/MAX($F$6:$F$189)*100,0)*Instellingen!$B$8,IFERROR(G34/MAX($G$6:$G$189)*100,0)*Instellingen!$B$9,IFERROR(H34/MAX($H$6:$H$189)*100,0)*Instellingen!$B$10)/SUM(Instellingen!$B$5:$B$10))</f>
        <v>26.299562798248306</v>
      </c>
      <c r="L34">
        <f>IF(K34="","",ROUND((Instellingen!$B$16+(Instellingen!$B$17-Instellingen!$B$16)*POWER(K34/100,Instellingen!$B$18))/Instellingen!$B$19,0)*Instellingen!$B$19)</f>
        <v>910</v>
      </c>
      <c r="N34">
        <f>IF(L34="","",MAX(Instellingen!$B$16,MIN(Instellingen!$B$17,L34+IF(M34="",0,M34))))</f>
        <v>910</v>
      </c>
      <c r="O34" t="str">
        <f>IF(N34="","",IF(N34&gt;=Instellingen!$B$22,"Absolute top",IF(N34&gt;=Instellingen!$B$23,"Kopman",IF(N34&gt;=Instellingen!$B$24,"Sterke keuze",IF(N34&gt;=Instellingen!$B$25,"Bruikbaar","Gok")))))</f>
        <v>Bruikbaar</v>
      </c>
      <c r="P34" t="str">
        <f>IF(A34="","",IF(D34="","Rol invullen","Compleet"))</f>
        <v>Compleet</v>
      </c>
      <c r="Q34" t="s">
        <v>97</v>
      </c>
    </row>
    <row r="35" spans="1:17">
      <c r="A35" t="s">
        <v>328</v>
      </c>
      <c r="B35" t="s">
        <v>62</v>
      </c>
      <c r="C35" t="s">
        <v>21</v>
      </c>
      <c r="D35" t="s">
        <v>30</v>
      </c>
      <c r="E35">
        <v>2685</v>
      </c>
      <c r="F35">
        <v>1649</v>
      </c>
      <c r="G35">
        <v>2710</v>
      </c>
      <c r="H35">
        <v>458</v>
      </c>
      <c r="I35">
        <f>IF(D35="","",IFERROR(VLOOKUP(D35,Instellingen!$D$5:$E$13,2,FALSE),""))</f>
        <v>55</v>
      </c>
      <c r="J35">
        <f>IF(C35="","",IF(C35="Ja",100,0))</f>
        <v>0</v>
      </c>
      <c r="K35">
        <f>IF(D35="","",SUM(I35*Instellingen!$B$5,J35*Instellingen!$B$6,IFERROR(E35/MAX($E$6:$E$189)*100,0)*Instellingen!$B$7,IFERROR(F35/MAX($F$6:$F$189)*100,0)*Instellingen!$B$8,IFERROR(G35/MAX($G$6:$G$189)*100,0)*Instellingen!$B$9,IFERROR(H35/MAX($H$6:$H$189)*100,0)*Instellingen!$B$10)/SUM(Instellingen!$B$5:$B$10))</f>
        <v>26.17547806625673</v>
      </c>
      <c r="L35">
        <f>IF(K35="","",ROUND((Instellingen!$B$16+(Instellingen!$B$17-Instellingen!$B$16)*POWER(K35/100,Instellingen!$B$18))/Instellingen!$B$19,0)*Instellingen!$B$19)</f>
        <v>906</v>
      </c>
      <c r="N35">
        <f>IF(L35="","",MAX(Instellingen!$B$16,MIN(Instellingen!$B$17,L35+IF(M35="",0,M35))))</f>
        <v>906</v>
      </c>
      <c r="O35" t="str">
        <f>IF(N35="","",IF(N35&gt;=Instellingen!$B$22,"Absolute top",IF(N35&gt;=Instellingen!$B$23,"Kopman",IF(N35&gt;=Instellingen!$B$24,"Sterke keuze",IF(N35&gt;=Instellingen!$B$25,"Bruikbaar","Gok")))))</f>
        <v>Bruikbaar</v>
      </c>
      <c r="P35" t="str">
        <f>IF(A35="","",IF(D35="","Rol invullen","Compleet"))</f>
        <v>Compleet</v>
      </c>
      <c r="Q35" t="s">
        <v>329</v>
      </c>
    </row>
    <row r="36" spans="1:17">
      <c r="A36" t="s">
        <v>164</v>
      </c>
      <c r="B36" t="s">
        <v>162</v>
      </c>
      <c r="C36" t="s">
        <v>25</v>
      </c>
      <c r="D36" t="s">
        <v>82</v>
      </c>
      <c r="E36">
        <v>286</v>
      </c>
      <c r="F36">
        <v>1431</v>
      </c>
      <c r="G36">
        <v>158</v>
      </c>
      <c r="H36">
        <v>112</v>
      </c>
      <c r="I36">
        <f>IF(D36="","",IFERROR(VLOOKUP(D36,Instellingen!$D$5:$E$13,2,FALSE),""))</f>
        <v>80</v>
      </c>
      <c r="J36">
        <f>IF(C36="","",IF(C36="Ja",100,0))</f>
        <v>100</v>
      </c>
      <c r="K36">
        <f>IF(D36="","",SUM(I36*Instellingen!$B$5,J36*Instellingen!$B$6,IFERROR(E36/MAX($E$6:$E$189)*100,0)*Instellingen!$B$7,IFERROR(F36/MAX($F$6:$F$189)*100,0)*Instellingen!$B$8,IFERROR(G36/MAX($G$6:$G$189)*100,0)*Instellingen!$B$9,IFERROR(H36/MAX($H$6:$H$189)*100,0)*Instellingen!$B$10)/SUM(Instellingen!$B$5:$B$10))</f>
        <v>25.986911441875833</v>
      </c>
      <c r="L36">
        <f>IF(K36="","",ROUND((Instellingen!$B$16+(Instellingen!$B$17-Instellingen!$B$16)*POWER(K36/100,Instellingen!$B$18))/Instellingen!$B$19,0)*Instellingen!$B$19)</f>
        <v>900</v>
      </c>
      <c r="N36">
        <f>IF(L36="","",MAX(Instellingen!$B$16,MIN(Instellingen!$B$17,L36+IF(M36="",0,M36))))</f>
        <v>900</v>
      </c>
      <c r="O36" t="str">
        <f>IF(N36="","",IF(N36&gt;=Instellingen!$B$22,"Absolute top",IF(N36&gt;=Instellingen!$B$23,"Kopman",IF(N36&gt;=Instellingen!$B$24,"Sterke keuze",IF(N36&gt;=Instellingen!$B$25,"Bruikbaar","Gok")))))</f>
        <v>Bruikbaar</v>
      </c>
      <c r="P36" t="str">
        <f>IF(A36="","",IF(D36="","Rol invullen","Compleet"))</f>
        <v>Compleet</v>
      </c>
      <c r="Q36" t="s">
        <v>165</v>
      </c>
    </row>
    <row r="37" spans="1:17">
      <c r="A37" t="s">
        <v>37</v>
      </c>
      <c r="B37" t="s">
        <v>38</v>
      </c>
      <c r="C37" t="s">
        <v>25</v>
      </c>
      <c r="D37" t="s">
        <v>30</v>
      </c>
      <c r="E37">
        <v>1325</v>
      </c>
      <c r="F37">
        <v>171</v>
      </c>
      <c r="G37">
        <v>1346</v>
      </c>
      <c r="H37">
        <v>170</v>
      </c>
      <c r="I37">
        <f>IF(D37="","",IFERROR(VLOOKUP(D37,Instellingen!$D$5:$E$13,2,FALSE),""))</f>
        <v>55</v>
      </c>
      <c r="J37">
        <f>IF(C37="","",IF(C37="Ja",100,0))</f>
        <v>100</v>
      </c>
      <c r="K37">
        <f>IF(D37="","",SUM(I37*Instellingen!$B$5,J37*Instellingen!$B$6,IFERROR(E37/MAX($E$6:$E$189)*100,0)*Instellingen!$B$7,IFERROR(F37/MAX($F$6:$F$189)*100,0)*Instellingen!$B$8,IFERROR(G37/MAX($G$6:$G$189)*100,0)*Instellingen!$B$9,IFERROR(H37/MAX($H$6:$H$189)*100,0)*Instellingen!$B$10)/SUM(Instellingen!$B$5:$B$10))</f>
        <v>25.933340618433238</v>
      </c>
      <c r="L37">
        <f>IF(K37="","",ROUND((Instellingen!$B$16+(Instellingen!$B$17-Instellingen!$B$16)*POWER(K37/100,Instellingen!$B$18))/Instellingen!$B$19,0)*Instellingen!$B$19)</f>
        <v>898</v>
      </c>
      <c r="N37">
        <f>IF(L37="","",MAX(Instellingen!$B$16,MIN(Instellingen!$B$17,L37+IF(M37="",0,M37))))</f>
        <v>898</v>
      </c>
      <c r="O37" t="str">
        <f>IF(N37="","",IF(N37&gt;=Instellingen!$B$22,"Absolute top",IF(N37&gt;=Instellingen!$B$23,"Kopman",IF(N37&gt;=Instellingen!$B$24,"Sterke keuze",IF(N37&gt;=Instellingen!$B$25,"Bruikbaar","Gok")))))</f>
        <v>Bruikbaar</v>
      </c>
      <c r="P37" t="str">
        <f>IF(A37="","",IF(D37="","Rol invullen","Compleet"))</f>
        <v>Compleet</v>
      </c>
      <c r="Q37" t="s">
        <v>39</v>
      </c>
    </row>
    <row r="38" spans="1:17">
      <c r="A38" t="s">
        <v>168</v>
      </c>
      <c r="B38" t="s">
        <v>162</v>
      </c>
      <c r="C38" t="s">
        <v>25</v>
      </c>
      <c r="D38" t="s">
        <v>30</v>
      </c>
      <c r="E38">
        <v>953</v>
      </c>
      <c r="F38">
        <v>974</v>
      </c>
      <c r="G38">
        <v>959</v>
      </c>
      <c r="H38">
        <v>485</v>
      </c>
      <c r="I38">
        <f>IF(D38="","",IFERROR(VLOOKUP(D38,Instellingen!$D$5:$E$13,2,FALSE),""))</f>
        <v>55</v>
      </c>
      <c r="J38">
        <f>IF(C38="","",IF(C38="Ja",100,0))</f>
        <v>100</v>
      </c>
      <c r="K38">
        <f>IF(D38="","",SUM(I38*Instellingen!$B$5,J38*Instellingen!$B$6,IFERROR(E38/MAX($E$6:$E$189)*100,0)*Instellingen!$B$7,IFERROR(F38/MAX($F$6:$F$189)*100,0)*Instellingen!$B$8,IFERROR(G38/MAX($G$6:$G$189)*100,0)*Instellingen!$B$9,IFERROR(H38/MAX($H$6:$H$189)*100,0)*Instellingen!$B$10)/SUM(Instellingen!$B$5:$B$10))</f>
        <v>25.54535812562947</v>
      </c>
      <c r="L38">
        <f>IF(K38="","",ROUND((Instellingen!$B$16+(Instellingen!$B$17-Instellingen!$B$16)*POWER(K38/100,Instellingen!$B$18))/Instellingen!$B$19,0)*Instellingen!$B$19)</f>
        <v>886</v>
      </c>
      <c r="N38">
        <f>IF(L38="","",MAX(Instellingen!$B$16,MIN(Instellingen!$B$17,L38+IF(M38="",0,M38))))</f>
        <v>886</v>
      </c>
      <c r="O38" t="str">
        <f>IF(N38="","",IF(N38&gt;=Instellingen!$B$22,"Absolute top",IF(N38&gt;=Instellingen!$B$23,"Kopman",IF(N38&gt;=Instellingen!$B$24,"Sterke keuze",IF(N38&gt;=Instellingen!$B$25,"Bruikbaar","Gok")))))</f>
        <v>Bruikbaar</v>
      </c>
      <c r="P38" t="str">
        <f>IF(A38="","",IF(D38="","Rol invullen","Compleet"))</f>
        <v>Compleet</v>
      </c>
      <c r="Q38" t="s">
        <v>169</v>
      </c>
    </row>
    <row r="39" spans="1:17">
      <c r="A39" t="s">
        <v>81</v>
      </c>
      <c r="B39" t="s">
        <v>73</v>
      </c>
      <c r="C39" t="s">
        <v>25</v>
      </c>
      <c r="D39" t="s">
        <v>82</v>
      </c>
      <c r="E39">
        <v>171</v>
      </c>
      <c r="F39">
        <v>1045</v>
      </c>
      <c r="G39">
        <v>0</v>
      </c>
      <c r="H39">
        <v>76</v>
      </c>
      <c r="I39">
        <f>IF(D39="","",IFERROR(VLOOKUP(D39,Instellingen!$D$5:$E$13,2,FALSE),""))</f>
        <v>80</v>
      </c>
      <c r="J39">
        <f>IF(C39="","",IF(C39="Ja",100,0))</f>
        <v>100</v>
      </c>
      <c r="K39">
        <f>IF(D39="","",SUM(I39*Instellingen!$B$5,J39*Instellingen!$B$6,IFERROR(E39/MAX($E$6:$E$189)*100,0)*Instellingen!$B$7,IFERROR(F39/MAX($F$6:$F$189)*100,0)*Instellingen!$B$8,IFERROR(G39/MAX($G$6:$G$189)*100,0)*Instellingen!$B$9,IFERROR(H39/MAX($H$6:$H$189)*100,0)*Instellingen!$B$10)/SUM(Instellingen!$B$5:$B$10))</f>
        <v>24.593793198990067</v>
      </c>
      <c r="L39">
        <f>IF(K39="","",ROUND((Instellingen!$B$16+(Instellingen!$B$17-Instellingen!$B$16)*POWER(K39/100,Instellingen!$B$18))/Instellingen!$B$19,0)*Instellingen!$B$19)</f>
        <v>857</v>
      </c>
      <c r="N39">
        <f>IF(L39="","",MAX(Instellingen!$B$16,MIN(Instellingen!$B$17,L39+IF(M39="",0,M39))))</f>
        <v>857</v>
      </c>
      <c r="O39" t="str">
        <f>IF(N39="","",IF(N39&gt;=Instellingen!$B$22,"Absolute top",IF(N39&gt;=Instellingen!$B$23,"Kopman",IF(N39&gt;=Instellingen!$B$24,"Sterke keuze",IF(N39&gt;=Instellingen!$B$25,"Bruikbaar","Gok")))))</f>
        <v>Bruikbaar</v>
      </c>
      <c r="P39" t="str">
        <f>IF(A39="","",IF(D39="","Rol invullen","Compleet"))</f>
        <v>Compleet</v>
      </c>
      <c r="Q39" t="s">
        <v>83</v>
      </c>
    </row>
    <row r="40" spans="1:17">
      <c r="A40" t="s">
        <v>382</v>
      </c>
      <c r="B40" t="s">
        <v>105</v>
      </c>
      <c r="C40" t="s">
        <v>21</v>
      </c>
      <c r="D40" t="s">
        <v>70</v>
      </c>
      <c r="E40">
        <v>175</v>
      </c>
      <c r="F40">
        <v>5796</v>
      </c>
      <c r="G40">
        <v>29</v>
      </c>
      <c r="H40">
        <v>0</v>
      </c>
      <c r="I40">
        <f>IF(D40="","",IFERROR(VLOOKUP(D40,Instellingen!$D$5:$E$13,2,FALSE),""))</f>
        <v>90</v>
      </c>
      <c r="J40">
        <f>IF(C40="","",IF(C40="Ja",100,0))</f>
        <v>0</v>
      </c>
      <c r="K40">
        <f>IF(D40="","",SUM(I40*Instellingen!$B$5,J40*Instellingen!$B$6,IFERROR(E40/MAX($E$6:$E$189)*100,0)*Instellingen!$B$7,IFERROR(F40/MAX($F$6:$F$189)*100,0)*Instellingen!$B$8,IFERROR(G40/MAX($G$6:$G$189)*100,0)*Instellingen!$B$9,IFERROR(H40/MAX($H$6:$H$189)*100,0)*Instellingen!$B$10)/SUM(Instellingen!$B$5:$B$10))</f>
        <v>24.446703298929283</v>
      </c>
      <c r="L40">
        <f>IF(K40="","",ROUND((Instellingen!$B$16+(Instellingen!$B$17-Instellingen!$B$16)*POWER(K40/100,Instellingen!$B$18))/Instellingen!$B$19,0)*Instellingen!$B$19)</f>
        <v>852</v>
      </c>
      <c r="N40">
        <f>IF(L40="","",MAX(Instellingen!$B$16,MIN(Instellingen!$B$17,L40+IF(M40="",0,M40))))</f>
        <v>852</v>
      </c>
      <c r="O40" t="str">
        <f>IF(N40="","",IF(N40&gt;=Instellingen!$B$22,"Absolute top",IF(N40&gt;=Instellingen!$B$23,"Kopman",IF(N40&gt;=Instellingen!$B$24,"Sterke keuze",IF(N40&gt;=Instellingen!$B$25,"Bruikbaar","Gok")))))</f>
        <v>Bruikbaar</v>
      </c>
      <c r="P40" t="str">
        <f>IF(A40="","",IF(D40="","Rol invullen","Compleet"))</f>
        <v>Compleet</v>
      </c>
      <c r="Q40" t="s">
        <v>383</v>
      </c>
    </row>
    <row r="41" spans="1:17">
      <c r="A41" t="s">
        <v>336</v>
      </c>
      <c r="B41" t="s">
        <v>110</v>
      </c>
      <c r="C41" t="s">
        <v>25</v>
      </c>
      <c r="D41" t="s">
        <v>30</v>
      </c>
      <c r="E41">
        <v>1013</v>
      </c>
      <c r="F41">
        <v>230</v>
      </c>
      <c r="G41">
        <v>551</v>
      </c>
      <c r="H41">
        <v>773</v>
      </c>
      <c r="I41">
        <f>IF(D41="","",IFERROR(VLOOKUP(D41,Instellingen!$D$5:$E$13,2,FALSE),""))</f>
        <v>55</v>
      </c>
      <c r="J41">
        <f>IF(C41="","",IF(C41="Ja",100,0))</f>
        <v>100</v>
      </c>
      <c r="K41">
        <f>IF(D41="","",SUM(I41*Instellingen!$B$5,J41*Instellingen!$B$6,IFERROR(E41/MAX($E$6:$E$189)*100,0)*Instellingen!$B$7,IFERROR(F41/MAX($F$6:$F$189)*100,0)*Instellingen!$B$8,IFERROR(G41/MAX($G$6:$G$189)*100,0)*Instellingen!$B$9,IFERROR(H41/MAX($H$6:$H$189)*100,0)*Instellingen!$B$10)/SUM(Instellingen!$B$5:$B$10))</f>
        <v>24.144814018684222</v>
      </c>
      <c r="L41">
        <f>IF(K41="","",ROUND((Instellingen!$B$16+(Instellingen!$B$17-Instellingen!$B$16)*POWER(K41/100,Instellingen!$B$18))/Instellingen!$B$19,0)*Instellingen!$B$19)</f>
        <v>843</v>
      </c>
      <c r="N41">
        <f>IF(L41="","",MAX(Instellingen!$B$16,MIN(Instellingen!$B$17,L41+IF(M41="",0,M41))))</f>
        <v>843</v>
      </c>
      <c r="O41" t="str">
        <f>IF(N41="","",IF(N41&gt;=Instellingen!$B$22,"Absolute top",IF(N41&gt;=Instellingen!$B$23,"Kopman",IF(N41&gt;=Instellingen!$B$24,"Sterke keuze",IF(N41&gt;=Instellingen!$B$25,"Bruikbaar","Gok")))))</f>
        <v>Bruikbaar</v>
      </c>
      <c r="P41" t="str">
        <f>IF(A41="","",IF(D41="","Rol invullen","Compleet"))</f>
        <v>Compleet</v>
      </c>
      <c r="Q41" t="s">
        <v>337</v>
      </c>
    </row>
    <row r="42" spans="1:17">
      <c r="A42" t="s">
        <v>54</v>
      </c>
      <c r="B42" t="s">
        <v>50</v>
      </c>
      <c r="C42" t="s">
        <v>21</v>
      </c>
      <c r="D42" t="s">
        <v>35</v>
      </c>
      <c r="E42">
        <v>1807</v>
      </c>
      <c r="F42">
        <v>1951</v>
      </c>
      <c r="G42">
        <v>1842</v>
      </c>
      <c r="H42">
        <v>161</v>
      </c>
      <c r="I42">
        <f>IF(D42="","",IFERROR(VLOOKUP(D42,Instellingen!$D$5:$E$13,2,FALSE),""))</f>
        <v>65</v>
      </c>
      <c r="J42">
        <f>IF(C42="","",IF(C42="Ja",100,0))</f>
        <v>0</v>
      </c>
      <c r="K42">
        <f>IF(D42="","",SUM(I42*Instellingen!$B$5,J42*Instellingen!$B$6,IFERROR(E42/MAX($E$6:$E$189)*100,0)*Instellingen!$B$7,IFERROR(F42/MAX($F$6:$F$189)*100,0)*Instellingen!$B$8,IFERROR(G42/MAX($G$6:$G$189)*100,0)*Instellingen!$B$9,IFERROR(H42/MAX($H$6:$H$189)*100,0)*Instellingen!$B$10)/SUM(Instellingen!$B$5:$B$10))</f>
        <v>23.202825130929799</v>
      </c>
      <c r="L42">
        <f>IF(K42="","",ROUND((Instellingen!$B$16+(Instellingen!$B$17-Instellingen!$B$16)*POWER(K42/100,Instellingen!$B$18))/Instellingen!$B$19,0)*Instellingen!$B$19)</f>
        <v>815</v>
      </c>
      <c r="N42">
        <f>IF(L42="","",MAX(Instellingen!$B$16,MIN(Instellingen!$B$17,L42+IF(M42="",0,M42))))</f>
        <v>815</v>
      </c>
      <c r="O42" t="str">
        <f>IF(N42="","",IF(N42&gt;=Instellingen!$B$22,"Absolute top",IF(N42&gt;=Instellingen!$B$23,"Kopman",IF(N42&gt;=Instellingen!$B$24,"Sterke keuze",IF(N42&gt;=Instellingen!$B$25,"Bruikbaar","Gok")))))</f>
        <v>Bruikbaar</v>
      </c>
      <c r="P42" t="str">
        <f>IF(A42="","",IF(D42="","Rol invullen","Compleet"))</f>
        <v>Compleet</v>
      </c>
      <c r="Q42" t="s">
        <v>55</v>
      </c>
    </row>
    <row r="43" spans="1:17">
      <c r="A43" t="s">
        <v>125</v>
      </c>
      <c r="B43" t="s">
        <v>117</v>
      </c>
      <c r="C43" t="s">
        <v>25</v>
      </c>
      <c r="D43" t="s">
        <v>30</v>
      </c>
      <c r="E43">
        <v>770</v>
      </c>
      <c r="F43">
        <v>138</v>
      </c>
      <c r="G43">
        <v>1078</v>
      </c>
      <c r="H43">
        <v>1</v>
      </c>
      <c r="I43">
        <f>IF(D43="","",IFERROR(VLOOKUP(D43,Instellingen!$D$5:$E$13,2,FALSE),""))</f>
        <v>55</v>
      </c>
      <c r="J43">
        <f>IF(C43="","",IF(C43="Ja",100,0))</f>
        <v>100</v>
      </c>
      <c r="K43">
        <f>IF(D43="","",SUM(I43*Instellingen!$B$5,J43*Instellingen!$B$6,IFERROR(E43/MAX($E$6:$E$189)*100,0)*Instellingen!$B$7,IFERROR(F43/MAX($F$6:$F$189)*100,0)*Instellingen!$B$8,IFERROR(G43/MAX($G$6:$G$189)*100,0)*Instellingen!$B$9,IFERROR(H43/MAX($H$6:$H$189)*100,0)*Instellingen!$B$10)/SUM(Instellingen!$B$5:$B$10))</f>
        <v>23.113898094844124</v>
      </c>
      <c r="L43">
        <f>IF(K43="","",ROUND((Instellingen!$B$16+(Instellingen!$B$17-Instellingen!$B$16)*POWER(K43/100,Instellingen!$B$18))/Instellingen!$B$19,0)*Instellingen!$B$19)</f>
        <v>812</v>
      </c>
      <c r="M43">
        <v>100</v>
      </c>
      <c r="N43">
        <f>IF(L43="","",MAX(Instellingen!$B$16,MIN(Instellingen!$B$17,L43+IF(M43="",0,M43))))</f>
        <v>912</v>
      </c>
      <c r="O43" t="str">
        <f>IF(N43="","",IF(N43&gt;=Instellingen!$B$22,"Absolute top",IF(N43&gt;=Instellingen!$B$23,"Kopman",IF(N43&gt;=Instellingen!$B$24,"Sterke keuze",IF(N43&gt;=Instellingen!$B$25,"Bruikbaar","Gok")))))</f>
        <v>Bruikbaar</v>
      </c>
      <c r="P43" t="str">
        <f>IF(A43="","",IF(D43="","Rol invullen","Compleet"))</f>
        <v>Compleet</v>
      </c>
      <c r="Q43" t="s">
        <v>126</v>
      </c>
    </row>
    <row r="44" spans="1:17">
      <c r="A44" t="s">
        <v>338</v>
      </c>
      <c r="B44" t="s">
        <v>110</v>
      </c>
      <c r="C44" t="s">
        <v>21</v>
      </c>
      <c r="D44" t="s">
        <v>70</v>
      </c>
      <c r="E44">
        <v>121</v>
      </c>
      <c r="F44">
        <v>5111</v>
      </c>
      <c r="G44">
        <v>32</v>
      </c>
      <c r="H44">
        <v>61</v>
      </c>
      <c r="I44">
        <f>IF(D44="","",IFERROR(VLOOKUP(D44,Instellingen!$D$5:$E$13,2,FALSE),""))</f>
        <v>90</v>
      </c>
      <c r="J44">
        <f>IF(C44="","",IF(C44="Ja",100,0))</f>
        <v>0</v>
      </c>
      <c r="K44">
        <f>IF(D44="","",SUM(I44*Instellingen!$B$5,J44*Instellingen!$B$6,IFERROR(E44/MAX($E$6:$E$189)*100,0)*Instellingen!$B$7,IFERROR(F44/MAX($F$6:$F$189)*100,0)*Instellingen!$B$8,IFERROR(G44/MAX($G$6:$G$189)*100,0)*Instellingen!$B$9,IFERROR(H44/MAX($H$6:$H$189)*100,0)*Instellingen!$B$10)/SUM(Instellingen!$B$5:$B$10))</f>
        <v>23.074111504613924</v>
      </c>
      <c r="L44">
        <f>IF(K44="","",ROUND((Instellingen!$B$16+(Instellingen!$B$17-Instellingen!$B$16)*POWER(K44/100,Instellingen!$B$18))/Instellingen!$B$19,0)*Instellingen!$B$19)</f>
        <v>811</v>
      </c>
      <c r="N44">
        <f>IF(L44="","",MAX(Instellingen!$B$16,MIN(Instellingen!$B$17,L44+IF(M44="",0,M44))))</f>
        <v>811</v>
      </c>
      <c r="O44" t="str">
        <f>IF(N44="","",IF(N44&gt;=Instellingen!$B$22,"Absolute top",IF(N44&gt;=Instellingen!$B$23,"Kopman",IF(N44&gt;=Instellingen!$B$24,"Sterke keuze",IF(N44&gt;=Instellingen!$B$25,"Bruikbaar","Gok")))))</f>
        <v>Bruikbaar</v>
      </c>
      <c r="P44" t="str">
        <f>IF(A44="","",IF(D44="","Rol invullen","Compleet"))</f>
        <v>Compleet</v>
      </c>
      <c r="Q44" t="s">
        <v>339</v>
      </c>
    </row>
    <row r="45" spans="1:17">
      <c r="A45" t="s">
        <v>217</v>
      </c>
      <c r="B45" t="s">
        <v>218</v>
      </c>
      <c r="C45" t="s">
        <v>25</v>
      </c>
      <c r="D45" t="s">
        <v>30</v>
      </c>
      <c r="E45">
        <v>813</v>
      </c>
      <c r="F45">
        <v>284</v>
      </c>
      <c r="G45">
        <v>558</v>
      </c>
      <c r="H45">
        <v>232</v>
      </c>
      <c r="I45">
        <f>IF(D45="","",IFERROR(VLOOKUP(D45,Instellingen!$D$5:$E$13,2,FALSE),""))</f>
        <v>55</v>
      </c>
      <c r="J45">
        <f>IF(C45="","",IF(C45="Ja",100,0))</f>
        <v>100</v>
      </c>
      <c r="K45">
        <f>IF(D45="","",SUM(I45*Instellingen!$B$5,J45*Instellingen!$B$6,IFERROR(E45/MAX($E$6:$E$189)*100,0)*Instellingen!$B$7,IFERROR(F45/MAX($F$6:$F$189)*100,0)*Instellingen!$B$8,IFERROR(G45/MAX($G$6:$G$189)*100,0)*Instellingen!$B$9,IFERROR(H45/MAX($H$6:$H$189)*100,0)*Instellingen!$B$10)/SUM(Instellingen!$B$5:$B$10))</f>
        <v>23.010385006802768</v>
      </c>
      <c r="L45">
        <f>IF(K45="","",ROUND((Instellingen!$B$16+(Instellingen!$B$17-Instellingen!$B$16)*POWER(K45/100,Instellingen!$B$18))/Instellingen!$B$19,0)*Instellingen!$B$19)</f>
        <v>809</v>
      </c>
      <c r="M45">
        <v>100</v>
      </c>
      <c r="N45">
        <f>IF(L45="","",MAX(Instellingen!$B$16,MIN(Instellingen!$B$17,L45+IF(M45="",0,M45))))</f>
        <v>909</v>
      </c>
      <c r="O45" t="str">
        <f>IF(N45="","",IF(N45&gt;=Instellingen!$B$22,"Absolute top",IF(N45&gt;=Instellingen!$B$23,"Kopman",IF(N45&gt;=Instellingen!$B$24,"Sterke keuze",IF(N45&gt;=Instellingen!$B$25,"Bruikbaar","Gok")))))</f>
        <v>Bruikbaar</v>
      </c>
      <c r="P45" t="str">
        <f>IF(A45="","",IF(D45="","Rol invullen","Compleet"))</f>
        <v>Compleet</v>
      </c>
      <c r="Q45" t="s">
        <v>219</v>
      </c>
    </row>
    <row r="46" spans="1:17">
      <c r="A46" t="s">
        <v>94</v>
      </c>
      <c r="B46" t="s">
        <v>92</v>
      </c>
      <c r="C46" t="s">
        <v>25</v>
      </c>
      <c r="D46" t="s">
        <v>30</v>
      </c>
      <c r="E46">
        <v>747</v>
      </c>
      <c r="F46">
        <v>308</v>
      </c>
      <c r="G46">
        <v>340</v>
      </c>
      <c r="H46">
        <v>664</v>
      </c>
      <c r="I46">
        <f>IF(D46="","",IFERROR(VLOOKUP(D46,Instellingen!$D$5:$E$13,2,FALSE),""))</f>
        <v>55</v>
      </c>
      <c r="J46">
        <f>IF(C46="","",IF(C46="Ja",100,0))</f>
        <v>100</v>
      </c>
      <c r="K46">
        <f>IF(D46="","",SUM(I46*Instellingen!$B$5,J46*Instellingen!$B$6,IFERROR(E46/MAX($E$6:$E$189)*100,0)*Instellingen!$B$7,IFERROR(F46/MAX($F$6:$F$189)*100,0)*Instellingen!$B$8,IFERROR(G46/MAX($G$6:$G$189)*100,0)*Instellingen!$B$9,IFERROR(H46/MAX($H$6:$H$189)*100,0)*Instellingen!$B$10)/SUM(Instellingen!$B$5:$B$10))</f>
        <v>22.822736833575735</v>
      </c>
      <c r="L46">
        <f>IF(K46="","",ROUND((Instellingen!$B$16+(Instellingen!$B$17-Instellingen!$B$16)*POWER(K46/100,Instellingen!$B$18))/Instellingen!$B$19,0)*Instellingen!$B$19)</f>
        <v>803</v>
      </c>
      <c r="N46">
        <f>IF(L46="","",MAX(Instellingen!$B$16,MIN(Instellingen!$B$17,L46+IF(M46="",0,M46))))</f>
        <v>803</v>
      </c>
      <c r="O46" t="str">
        <f>IF(N46="","",IF(N46&gt;=Instellingen!$B$22,"Absolute top",IF(N46&gt;=Instellingen!$B$23,"Kopman",IF(N46&gt;=Instellingen!$B$24,"Sterke keuze",IF(N46&gt;=Instellingen!$B$25,"Bruikbaar","Gok")))))</f>
        <v>Bruikbaar</v>
      </c>
      <c r="P46" t="str">
        <f>IF(A46="","",IF(D46="","Rol invullen","Compleet"))</f>
        <v>Compleet</v>
      </c>
      <c r="Q46" t="s">
        <v>95</v>
      </c>
    </row>
    <row r="47" spans="1:17">
      <c r="A47" t="s">
        <v>100</v>
      </c>
      <c r="B47" t="s">
        <v>92</v>
      </c>
      <c r="C47" t="s">
        <v>25</v>
      </c>
      <c r="D47" t="s">
        <v>30</v>
      </c>
      <c r="E47">
        <v>685</v>
      </c>
      <c r="F47">
        <v>72</v>
      </c>
      <c r="G47">
        <v>843</v>
      </c>
      <c r="H47">
        <v>399</v>
      </c>
      <c r="I47">
        <f>IF(D47="","",IFERROR(VLOOKUP(D47,Instellingen!$D$5:$E$13,2,FALSE),""))</f>
        <v>55</v>
      </c>
      <c r="J47">
        <f>IF(C47="","",IF(C47="Ja",100,0))</f>
        <v>100</v>
      </c>
      <c r="K47">
        <f>IF(D47="","",SUM(I47*Instellingen!$B$5,J47*Instellingen!$B$6,IFERROR(E47/MAX($E$6:$E$189)*100,0)*Instellingen!$B$7,IFERROR(F47/MAX($F$6:$F$189)*100,0)*Instellingen!$B$8,IFERROR(G47/MAX($G$6:$G$189)*100,0)*Instellingen!$B$9,IFERROR(H47/MAX($H$6:$H$189)*100,0)*Instellingen!$B$10)/SUM(Instellingen!$B$5:$B$10))</f>
        <v>22.6404713706984</v>
      </c>
      <c r="L47">
        <f>IF(K47="","",ROUND((Instellingen!$B$16+(Instellingen!$B$17-Instellingen!$B$16)*POWER(K47/100,Instellingen!$B$18))/Instellingen!$B$19,0)*Instellingen!$B$19)</f>
        <v>798</v>
      </c>
      <c r="N47">
        <f>IF(L47="","",MAX(Instellingen!$B$16,MIN(Instellingen!$B$17,L47+IF(M47="",0,M47))))</f>
        <v>798</v>
      </c>
      <c r="O47" t="str">
        <f>IF(N47="","",IF(N47&gt;=Instellingen!$B$22,"Absolute top",IF(N47&gt;=Instellingen!$B$23,"Kopman",IF(N47&gt;=Instellingen!$B$24,"Sterke keuze",IF(N47&gt;=Instellingen!$B$25,"Bruikbaar","Gok")))))</f>
        <v>Bruikbaar</v>
      </c>
      <c r="P47" t="str">
        <f>IF(A47="","",IF(D47="","Rol invullen","Compleet"))</f>
        <v>Compleet</v>
      </c>
      <c r="Q47" t="s">
        <v>101</v>
      </c>
    </row>
    <row r="48" spans="1:17">
      <c r="A48" t="s">
        <v>414</v>
      </c>
      <c r="B48" t="s">
        <v>57</v>
      </c>
      <c r="C48" t="s">
        <v>25</v>
      </c>
      <c r="D48" t="s">
        <v>35</v>
      </c>
      <c r="E48">
        <v>201</v>
      </c>
      <c r="F48">
        <v>212</v>
      </c>
      <c r="G48">
        <v>28</v>
      </c>
      <c r="H48">
        <v>1826</v>
      </c>
      <c r="I48">
        <f>IF(D48="","",IFERROR(VLOOKUP(D48,Instellingen!$D$5:$E$13,2,FALSE),""))</f>
        <v>65</v>
      </c>
      <c r="J48">
        <f>IF(C48="","",IF(C48="Ja",100,0))</f>
        <v>100</v>
      </c>
      <c r="K48">
        <f>IF(D48="","",SUM(I48*Instellingen!$B$5,J48*Instellingen!$B$6,IFERROR(E48/MAX($E$6:$E$189)*100,0)*Instellingen!$B$7,IFERROR(F48/MAX($F$6:$F$189)*100,0)*Instellingen!$B$8,IFERROR(G48/MAX($G$6:$G$189)*100,0)*Instellingen!$B$9,IFERROR(H48/MAX($H$6:$H$189)*100,0)*Instellingen!$B$10)/SUM(Instellingen!$B$5:$B$10))</f>
        <v>22.413869348892248</v>
      </c>
      <c r="L48">
        <f>IF(K48="","",ROUND((Instellingen!$B$16+(Instellingen!$B$17-Instellingen!$B$16)*POWER(K48/100,Instellingen!$B$18))/Instellingen!$B$19,0)*Instellingen!$B$19)</f>
        <v>791</v>
      </c>
      <c r="N48">
        <f>IF(L48="","",MAX(Instellingen!$B$16,MIN(Instellingen!$B$17,L48+IF(M48="",0,M48))))</f>
        <v>791</v>
      </c>
      <c r="O48" t="str">
        <f>IF(N48="","",IF(N48&gt;=Instellingen!$B$22,"Absolute top",IF(N48&gt;=Instellingen!$B$23,"Kopman",IF(N48&gt;=Instellingen!$B$24,"Sterke keuze",IF(N48&gt;=Instellingen!$B$25,"Bruikbaar","Gok")))))</f>
        <v>Bruikbaar</v>
      </c>
      <c r="P48" t="str">
        <f>IF(A48="","",IF(D48="","Rol invullen","Compleet"))</f>
        <v>Compleet</v>
      </c>
      <c r="Q48" t="s">
        <v>415</v>
      </c>
    </row>
    <row r="49" spans="1:17">
      <c r="A49" t="s">
        <v>334</v>
      </c>
      <c r="B49" t="s">
        <v>92</v>
      </c>
      <c r="C49" t="s">
        <v>25</v>
      </c>
      <c r="D49" t="s">
        <v>30</v>
      </c>
      <c r="E49">
        <v>570</v>
      </c>
      <c r="F49">
        <v>777</v>
      </c>
      <c r="G49">
        <v>260</v>
      </c>
      <c r="H49">
        <v>115</v>
      </c>
      <c r="I49">
        <f>IF(D49="","",IFERROR(VLOOKUP(D49,Instellingen!$D$5:$E$13,2,FALSE),""))</f>
        <v>55</v>
      </c>
      <c r="J49">
        <f>IF(C49="","",IF(C49="Ja",100,0))</f>
        <v>100</v>
      </c>
      <c r="K49">
        <f>IF(D49="","",SUM(I49*Instellingen!$B$5,J49*Instellingen!$B$6,IFERROR(E49/MAX($E$6:$E$189)*100,0)*Instellingen!$B$7,IFERROR(F49/MAX($F$6:$F$189)*100,0)*Instellingen!$B$8,IFERROR(G49/MAX($G$6:$G$189)*100,0)*Instellingen!$B$9,IFERROR(H49/MAX($H$6:$H$189)*100,0)*Instellingen!$B$10)/SUM(Instellingen!$B$5:$B$10))</f>
        <v>22.385655064977513</v>
      </c>
      <c r="L49">
        <f>IF(K49="","",ROUND((Instellingen!$B$16+(Instellingen!$B$17-Instellingen!$B$16)*POWER(K49/100,Instellingen!$B$18))/Instellingen!$B$19,0)*Instellingen!$B$19)</f>
        <v>791</v>
      </c>
      <c r="N49">
        <f>IF(L49="","",MAX(Instellingen!$B$16,MIN(Instellingen!$B$17,L49+IF(M49="",0,M49))))</f>
        <v>791</v>
      </c>
      <c r="O49" t="str">
        <f>IF(N49="","",IF(N49&gt;=Instellingen!$B$22,"Absolute top",IF(N49&gt;=Instellingen!$B$23,"Kopman",IF(N49&gt;=Instellingen!$B$24,"Sterke keuze",IF(N49&gt;=Instellingen!$B$25,"Bruikbaar","Gok")))))</f>
        <v>Bruikbaar</v>
      </c>
      <c r="P49" t="str">
        <f>IF(A49="","",IF(D49="","Rol invullen","Compleet"))</f>
        <v>Compleet</v>
      </c>
      <c r="Q49" t="s">
        <v>335</v>
      </c>
    </row>
    <row r="50" spans="1:17">
      <c r="A50" t="s">
        <v>410</v>
      </c>
      <c r="B50" t="s">
        <v>57</v>
      </c>
      <c r="C50" t="s">
        <v>25</v>
      </c>
      <c r="D50" t="s">
        <v>30</v>
      </c>
      <c r="E50">
        <v>452</v>
      </c>
      <c r="F50">
        <v>793</v>
      </c>
      <c r="G50">
        <v>537</v>
      </c>
      <c r="H50">
        <v>42</v>
      </c>
      <c r="I50">
        <f>IF(D50="","",IFERROR(VLOOKUP(D50,Instellingen!$D$5:$E$13,2,FALSE),""))</f>
        <v>55</v>
      </c>
      <c r="J50">
        <f>IF(C50="","",IF(C50="Ja",100,0))</f>
        <v>100</v>
      </c>
      <c r="K50">
        <f>IF(D50="","",SUM(I50*Instellingen!$B$5,J50*Instellingen!$B$6,IFERROR(E50/MAX($E$6:$E$189)*100,0)*Instellingen!$B$7,IFERROR(F50/MAX($F$6:$F$189)*100,0)*Instellingen!$B$8,IFERROR(G50/MAX($G$6:$G$189)*100,0)*Instellingen!$B$9,IFERROR(H50/MAX($H$6:$H$189)*100,0)*Instellingen!$B$10)/SUM(Instellingen!$B$5:$B$10))</f>
        <v>22.257939910586202</v>
      </c>
      <c r="L50">
        <f>IF(K50="","",ROUND((Instellingen!$B$16+(Instellingen!$B$17-Instellingen!$B$16)*POWER(K50/100,Instellingen!$B$18))/Instellingen!$B$19,0)*Instellingen!$B$19)</f>
        <v>787</v>
      </c>
      <c r="N50">
        <f>IF(L50="","",MAX(Instellingen!$B$16,MIN(Instellingen!$B$17,L50+IF(M50="",0,M50))))</f>
        <v>787</v>
      </c>
      <c r="O50" t="str">
        <f>IF(N50="","",IF(N50&gt;=Instellingen!$B$22,"Absolute top",IF(N50&gt;=Instellingen!$B$23,"Kopman",IF(N50&gt;=Instellingen!$B$24,"Sterke keuze",IF(N50&gt;=Instellingen!$B$25,"Bruikbaar","Gok")))))</f>
        <v>Bruikbaar</v>
      </c>
      <c r="P50" t="str">
        <f>IF(A50="","",IF(D50="","Rol invullen","Compleet"))</f>
        <v>Compleet</v>
      </c>
      <c r="Q50" t="s">
        <v>411</v>
      </c>
    </row>
    <row r="51" spans="1:17">
      <c r="A51" t="s">
        <v>67</v>
      </c>
      <c r="B51" t="s">
        <v>62</v>
      </c>
      <c r="C51" t="s">
        <v>25</v>
      </c>
      <c r="D51" t="s">
        <v>30</v>
      </c>
      <c r="E51">
        <v>344</v>
      </c>
      <c r="F51">
        <v>900</v>
      </c>
      <c r="G51">
        <v>618</v>
      </c>
      <c r="H51">
        <v>76</v>
      </c>
      <c r="I51">
        <f>IF(D51="","",IFERROR(VLOOKUP(D51,Instellingen!$D$5:$E$13,2,FALSE),""))</f>
        <v>55</v>
      </c>
      <c r="J51">
        <f>IF(C51="","",IF(C51="Ja",100,0))</f>
        <v>100</v>
      </c>
      <c r="K51">
        <f>IF(D51="","",SUM(I51*Instellingen!$B$5,J51*Instellingen!$B$6,IFERROR(E51/MAX($E$6:$E$189)*100,0)*Instellingen!$B$7,IFERROR(F51/MAX($F$6:$F$189)*100,0)*Instellingen!$B$8,IFERROR(G51/MAX($G$6:$G$189)*100,0)*Instellingen!$B$9,IFERROR(H51/MAX($H$6:$H$189)*100,0)*Instellingen!$B$10)/SUM(Instellingen!$B$5:$B$10))</f>
        <v>22.144857470091306</v>
      </c>
      <c r="L51">
        <f>IF(K51="","",ROUND((Instellingen!$B$16+(Instellingen!$B$17-Instellingen!$B$16)*POWER(K51/100,Instellingen!$B$18))/Instellingen!$B$19,0)*Instellingen!$B$19)</f>
        <v>783</v>
      </c>
      <c r="N51">
        <f>IF(L51="","",MAX(Instellingen!$B$16,MIN(Instellingen!$B$17,L51+IF(M51="",0,M51))))</f>
        <v>783</v>
      </c>
      <c r="O51" t="str">
        <f>IF(N51="","",IF(N51&gt;=Instellingen!$B$22,"Absolute top",IF(N51&gt;=Instellingen!$B$23,"Kopman",IF(N51&gt;=Instellingen!$B$24,"Sterke keuze",IF(N51&gt;=Instellingen!$B$25,"Bruikbaar","Gok")))))</f>
        <v>Bruikbaar</v>
      </c>
      <c r="P51" t="str">
        <f>IF(A51="","",IF(D51="","Rol invullen","Compleet"))</f>
        <v>Compleet</v>
      </c>
      <c r="Q51" t="s">
        <v>68</v>
      </c>
    </row>
    <row r="52" spans="1:17">
      <c r="A52" t="s">
        <v>34</v>
      </c>
      <c r="B52" t="s">
        <v>29</v>
      </c>
      <c r="C52" t="s">
        <v>21</v>
      </c>
      <c r="D52" t="s">
        <v>35</v>
      </c>
      <c r="E52">
        <v>1949</v>
      </c>
      <c r="F52">
        <v>721</v>
      </c>
      <c r="G52">
        <v>2161</v>
      </c>
      <c r="H52">
        <v>226</v>
      </c>
      <c r="I52">
        <f>IF(D52="","",IFERROR(VLOOKUP(D52,Instellingen!$D$5:$E$13,2,FALSE),""))</f>
        <v>65</v>
      </c>
      <c r="J52">
        <f>IF(C52="","",IF(C52="Ja",100,0))</f>
        <v>0</v>
      </c>
      <c r="K52">
        <f>IF(D52="","",SUM(I52*Instellingen!$B$5,J52*Instellingen!$B$6,IFERROR(E52/MAX($E$6:$E$189)*100,0)*Instellingen!$B$7,IFERROR(F52/MAX($F$6:$F$189)*100,0)*Instellingen!$B$8,IFERROR(G52/MAX($G$6:$G$189)*100,0)*Instellingen!$B$9,IFERROR(H52/MAX($H$6:$H$189)*100,0)*Instellingen!$B$10)/SUM(Instellingen!$B$5:$B$10))</f>
        <v>22.108237847908427</v>
      </c>
      <c r="L52">
        <f>IF(K52="","",ROUND((Instellingen!$B$16+(Instellingen!$B$17-Instellingen!$B$16)*POWER(K52/100,Instellingen!$B$18))/Instellingen!$B$19,0)*Instellingen!$B$19)</f>
        <v>782</v>
      </c>
      <c r="N52">
        <f>IF(L52="","",MAX(Instellingen!$B$16,MIN(Instellingen!$B$17,L52+IF(M52="",0,M52))))</f>
        <v>782</v>
      </c>
      <c r="O52" t="str">
        <f>IF(N52="","",IF(N52&gt;=Instellingen!$B$22,"Absolute top",IF(N52&gt;=Instellingen!$B$23,"Kopman",IF(N52&gt;=Instellingen!$B$24,"Sterke keuze",IF(N52&gt;=Instellingen!$B$25,"Bruikbaar","Gok")))))</f>
        <v>Bruikbaar</v>
      </c>
      <c r="P52" t="str">
        <f>IF(A52="","",IF(D52="","Rol invullen","Compleet"))</f>
        <v>Compleet</v>
      </c>
      <c r="Q52" t="s">
        <v>36</v>
      </c>
    </row>
    <row r="53" spans="1:17">
      <c r="A53" t="s">
        <v>19</v>
      </c>
      <c r="B53" t="s">
        <v>20</v>
      </c>
      <c r="C53" t="s">
        <v>21</v>
      </c>
      <c r="D53" t="s">
        <v>22</v>
      </c>
      <c r="E53">
        <v>1019</v>
      </c>
      <c r="F53">
        <v>955</v>
      </c>
      <c r="G53">
        <v>514</v>
      </c>
      <c r="H53">
        <v>701</v>
      </c>
      <c r="I53">
        <f>IF(D53="","",IFERROR(VLOOKUP(D53,Instellingen!$D$5:$E$13,2,FALSE),""))</f>
        <v>100</v>
      </c>
      <c r="J53">
        <f>IF(C53="","",IF(C53="Ja",100,0))</f>
        <v>0</v>
      </c>
      <c r="K53">
        <f>IF(D53="","",SUM(I53*Instellingen!$B$5,J53*Instellingen!$B$6,IFERROR(E53/MAX($E$6:$E$189)*100,0)*Instellingen!$B$7,IFERROR(F53/MAX($F$6:$F$189)*100,0)*Instellingen!$B$8,IFERROR(G53/MAX($G$6:$G$189)*100,0)*Instellingen!$B$9,IFERROR(H53/MAX($H$6:$H$189)*100,0)*Instellingen!$B$10)/SUM(Instellingen!$B$5:$B$10))</f>
        <v>22.086859912616248</v>
      </c>
      <c r="L53">
        <f>IF(K53="","",ROUND((Instellingen!$B$16+(Instellingen!$B$17-Instellingen!$B$16)*POWER(K53/100,Instellingen!$B$18))/Instellingen!$B$19,0)*Instellingen!$B$19)</f>
        <v>782</v>
      </c>
      <c r="N53">
        <f>IF(L53="","",MAX(Instellingen!$B$16,MIN(Instellingen!$B$17,L53+IF(M53="",0,M53))))</f>
        <v>782</v>
      </c>
      <c r="O53" t="str">
        <f>IF(N53="","",IF(N53&gt;=Instellingen!$B$22,"Absolute top",IF(N53&gt;=Instellingen!$B$23,"Kopman",IF(N53&gt;=Instellingen!$B$24,"Sterke keuze",IF(N53&gt;=Instellingen!$B$25,"Bruikbaar","Gok")))))</f>
        <v>Bruikbaar</v>
      </c>
      <c r="P53" t="str">
        <f>IF(A53="","",IF(D53="","Rol invullen","Compleet"))</f>
        <v>Compleet</v>
      </c>
      <c r="Q53" t="s">
        <v>23</v>
      </c>
    </row>
    <row r="54" spans="1:17">
      <c r="A54" t="s">
        <v>340</v>
      </c>
      <c r="B54" t="s">
        <v>110</v>
      </c>
      <c r="C54" t="s">
        <v>21</v>
      </c>
      <c r="D54" t="s">
        <v>82</v>
      </c>
      <c r="E54">
        <v>1012</v>
      </c>
      <c r="F54">
        <v>2168</v>
      </c>
      <c r="G54">
        <v>886</v>
      </c>
      <c r="H54">
        <v>606</v>
      </c>
      <c r="I54">
        <f>IF(D54="","",IFERROR(VLOOKUP(D54,Instellingen!$D$5:$E$13,2,FALSE),""))</f>
        <v>80</v>
      </c>
      <c r="J54">
        <f>IF(C54="","",IF(C54="Ja",100,0))</f>
        <v>0</v>
      </c>
      <c r="K54">
        <f>IF(D54="","",SUM(I54*Instellingen!$B$5,J54*Instellingen!$B$6,IFERROR(E54/MAX($E$6:$E$189)*100,0)*Instellingen!$B$7,IFERROR(F54/MAX($F$6:$F$189)*100,0)*Instellingen!$B$8,IFERROR(G54/MAX($G$6:$G$189)*100,0)*Instellingen!$B$9,IFERROR(H54/MAX($H$6:$H$189)*100,0)*Instellingen!$B$10)/SUM(Instellingen!$B$5:$B$10))</f>
        <v>21.630020651701528</v>
      </c>
      <c r="L54">
        <f>IF(K54="","",ROUND((Instellingen!$B$16+(Instellingen!$B$17-Instellingen!$B$16)*POWER(K54/100,Instellingen!$B$18))/Instellingen!$B$19,0)*Instellingen!$B$19)</f>
        <v>768</v>
      </c>
      <c r="N54">
        <f>IF(L54="","",MAX(Instellingen!$B$16,MIN(Instellingen!$B$17,L54+IF(M54="",0,M54))))</f>
        <v>768</v>
      </c>
      <c r="O54" t="str">
        <f>IF(N54="","",IF(N54&gt;=Instellingen!$B$22,"Absolute top",IF(N54&gt;=Instellingen!$B$23,"Kopman",IF(N54&gt;=Instellingen!$B$24,"Sterke keuze",IF(N54&gt;=Instellingen!$B$25,"Bruikbaar","Gok")))))</f>
        <v>Bruikbaar</v>
      </c>
      <c r="P54" t="str">
        <f>IF(A54="","",IF(D54="","Rol invullen","Compleet"))</f>
        <v>Compleet</v>
      </c>
      <c r="Q54" t="s">
        <v>341</v>
      </c>
    </row>
    <row r="55" spans="1:17">
      <c r="A55" t="s">
        <v>207</v>
      </c>
      <c r="B55" t="s">
        <v>201</v>
      </c>
      <c r="C55" t="s">
        <v>21</v>
      </c>
      <c r="D55" t="s">
        <v>35</v>
      </c>
      <c r="E55">
        <v>1898</v>
      </c>
      <c r="F55">
        <v>406</v>
      </c>
      <c r="G55">
        <v>1931</v>
      </c>
      <c r="H55">
        <v>8</v>
      </c>
      <c r="I55">
        <f>IF(D55="","",IFERROR(VLOOKUP(D55,Instellingen!$D$5:$E$13,2,FALSE),""))</f>
        <v>65</v>
      </c>
      <c r="J55">
        <f>IF(C55="","",IF(C55="Ja",100,0))</f>
        <v>0</v>
      </c>
      <c r="K55">
        <f>IF(D55="","",SUM(I55*Instellingen!$B$5,J55*Instellingen!$B$6,IFERROR(E55/MAX($E$6:$E$189)*100,0)*Instellingen!$B$7,IFERROR(F55/MAX($F$6:$F$189)*100,0)*Instellingen!$B$8,IFERROR(G55/MAX($G$6:$G$189)*100,0)*Instellingen!$B$9,IFERROR(H55/MAX($H$6:$H$189)*100,0)*Instellingen!$B$10)/SUM(Instellingen!$B$5:$B$10))</f>
        <v>20.85833101954935</v>
      </c>
      <c r="L55">
        <f>IF(K55="","",ROUND((Instellingen!$B$16+(Instellingen!$B$17-Instellingen!$B$16)*POWER(K55/100,Instellingen!$B$18))/Instellingen!$B$19,0)*Instellingen!$B$19)</f>
        <v>746</v>
      </c>
      <c r="N55">
        <f>IF(L55="","",MAX(Instellingen!$B$16,MIN(Instellingen!$B$17,L55+IF(M55="",0,M55))))</f>
        <v>746</v>
      </c>
      <c r="O55" t="str">
        <f>IF(N55="","",IF(N55&gt;=Instellingen!$B$22,"Absolute top",IF(N55&gt;=Instellingen!$B$23,"Kopman",IF(N55&gt;=Instellingen!$B$24,"Sterke keuze",IF(N55&gt;=Instellingen!$B$25,"Bruikbaar","Gok")))))</f>
        <v>Bruikbaar</v>
      </c>
      <c r="P55" t="str">
        <f>IF(A55="","",IF(D55="","Rol invullen","Compleet"))</f>
        <v>Compleet</v>
      </c>
      <c r="Q55" t="s">
        <v>208</v>
      </c>
    </row>
    <row r="56" spans="1:17">
      <c r="A56" t="s">
        <v>84</v>
      </c>
      <c r="B56" t="s">
        <v>73</v>
      </c>
      <c r="C56" t="s">
        <v>21</v>
      </c>
      <c r="D56" t="s">
        <v>82</v>
      </c>
      <c r="E56">
        <v>849</v>
      </c>
      <c r="F56">
        <v>2065</v>
      </c>
      <c r="G56">
        <v>1120</v>
      </c>
      <c r="H56">
        <v>23</v>
      </c>
      <c r="I56">
        <f>IF(D56="","",IFERROR(VLOOKUP(D56,Instellingen!$D$5:$E$13,2,FALSE),""))</f>
        <v>80</v>
      </c>
      <c r="J56">
        <f>IF(C56="","",IF(C56="Ja",100,0))</f>
        <v>0</v>
      </c>
      <c r="K56">
        <f>IF(D56="","",SUM(I56*Instellingen!$B$5,J56*Instellingen!$B$6,IFERROR(E56/MAX($E$6:$E$189)*100,0)*Instellingen!$B$7,IFERROR(F56/MAX($F$6:$F$189)*100,0)*Instellingen!$B$8,IFERROR(G56/MAX($G$6:$G$189)*100,0)*Instellingen!$B$9,IFERROR(H56/MAX($H$6:$H$189)*100,0)*Instellingen!$B$10)/SUM(Instellingen!$B$5:$B$10))</f>
        <v>20.649981294309217</v>
      </c>
      <c r="L56">
        <f>IF(K56="","",ROUND((Instellingen!$B$16+(Instellingen!$B$17-Instellingen!$B$16)*POWER(K56/100,Instellingen!$B$18))/Instellingen!$B$19,0)*Instellingen!$B$19)</f>
        <v>740</v>
      </c>
      <c r="N56">
        <f>IF(L56="","",MAX(Instellingen!$B$16,MIN(Instellingen!$B$17,L56+IF(M56="",0,M56))))</f>
        <v>740</v>
      </c>
      <c r="O56" t="str">
        <f>IF(N56="","",IF(N56&gt;=Instellingen!$B$22,"Absolute top",IF(N56&gt;=Instellingen!$B$23,"Kopman",IF(N56&gt;=Instellingen!$B$24,"Sterke keuze",IF(N56&gt;=Instellingen!$B$25,"Bruikbaar","Gok")))))</f>
        <v>Bruikbaar</v>
      </c>
      <c r="P56" t="str">
        <f>IF(A56="","",IF(D56="","Rol invullen","Compleet"))</f>
        <v>Compleet</v>
      </c>
      <c r="Q56" t="s">
        <v>85</v>
      </c>
    </row>
    <row r="57" spans="1:17">
      <c r="A57" t="s">
        <v>112</v>
      </c>
      <c r="B57" t="s">
        <v>110</v>
      </c>
      <c r="C57" t="s">
        <v>21</v>
      </c>
      <c r="D57" t="s">
        <v>70</v>
      </c>
      <c r="E57">
        <v>303</v>
      </c>
      <c r="F57">
        <v>3027</v>
      </c>
      <c r="G57">
        <v>334</v>
      </c>
      <c r="H57">
        <v>55</v>
      </c>
      <c r="I57">
        <f>IF(D57="","",IFERROR(VLOOKUP(D57,Instellingen!$D$5:$E$13,2,FALSE),""))</f>
        <v>90</v>
      </c>
      <c r="J57">
        <f>IF(C57="","",IF(C57="Ja",100,0))</f>
        <v>0</v>
      </c>
      <c r="K57">
        <f>IF(D57="","",SUM(I57*Instellingen!$B$5,J57*Instellingen!$B$6,IFERROR(E57/MAX($E$6:$E$189)*100,0)*Instellingen!$B$7,IFERROR(F57/MAX($F$6:$F$189)*100,0)*Instellingen!$B$8,IFERROR(G57/MAX($G$6:$G$189)*100,0)*Instellingen!$B$9,IFERROR(H57/MAX($H$6:$H$189)*100,0)*Instellingen!$B$10)/SUM(Instellingen!$B$5:$B$10))</f>
        <v>20.561087931572562</v>
      </c>
      <c r="L57">
        <f>IF(K57="","",ROUND((Instellingen!$B$16+(Instellingen!$B$17-Instellingen!$B$16)*POWER(K57/100,Instellingen!$B$18))/Instellingen!$B$19,0)*Instellingen!$B$19)</f>
        <v>737</v>
      </c>
      <c r="N57">
        <f>IF(L57="","",MAX(Instellingen!$B$16,MIN(Instellingen!$B$17,L57+IF(M57="",0,M57))))</f>
        <v>737</v>
      </c>
      <c r="O57" t="str">
        <f>IF(N57="","",IF(N57&gt;=Instellingen!$B$22,"Absolute top",IF(N57&gt;=Instellingen!$B$23,"Kopman",IF(N57&gt;=Instellingen!$B$24,"Sterke keuze",IF(N57&gt;=Instellingen!$B$25,"Bruikbaar","Gok")))))</f>
        <v>Bruikbaar</v>
      </c>
      <c r="P57" t="str">
        <f>IF(A57="","",IF(D57="","Rol invullen","Compleet"))</f>
        <v>Compleet</v>
      </c>
      <c r="Q57" t="s">
        <v>113</v>
      </c>
    </row>
    <row r="58" spans="1:17">
      <c r="A58" t="s">
        <v>116</v>
      </c>
      <c r="B58" t="s">
        <v>117</v>
      </c>
      <c r="C58" t="s">
        <v>21</v>
      </c>
      <c r="D58" t="s">
        <v>35</v>
      </c>
      <c r="E58">
        <v>1460</v>
      </c>
      <c r="F58">
        <v>980</v>
      </c>
      <c r="G58">
        <v>714</v>
      </c>
      <c r="H58">
        <v>2047</v>
      </c>
      <c r="I58">
        <f>IF(D58="","",IFERROR(VLOOKUP(D58,Instellingen!$D$5:$E$13,2,FALSE),""))</f>
        <v>65</v>
      </c>
      <c r="J58">
        <f>IF(C58="","",IF(C58="Ja",100,0))</f>
        <v>0</v>
      </c>
      <c r="K58">
        <f>IF(D58="","",SUM(I58*Instellingen!$B$5,J58*Instellingen!$B$6,IFERROR(E58/MAX($E$6:$E$189)*100,0)*Instellingen!$B$7,IFERROR(F58/MAX($F$6:$F$189)*100,0)*Instellingen!$B$8,IFERROR(G58/MAX($G$6:$G$189)*100,0)*Instellingen!$B$9,IFERROR(H58/MAX($H$6:$H$189)*100,0)*Instellingen!$B$10)/SUM(Instellingen!$B$5:$B$10))</f>
        <v>20.008879724779643</v>
      </c>
      <c r="L58">
        <f>IF(K58="","",ROUND((Instellingen!$B$16+(Instellingen!$B$17-Instellingen!$B$16)*POWER(K58/100,Instellingen!$B$18))/Instellingen!$B$19,0)*Instellingen!$B$19)</f>
        <v>722</v>
      </c>
      <c r="N58">
        <f>IF(L58="","",MAX(Instellingen!$B$16,MIN(Instellingen!$B$17,L58+IF(M58="",0,M58))))</f>
        <v>722</v>
      </c>
      <c r="O58" t="str">
        <f>IF(N58="","",IF(N58&gt;=Instellingen!$B$22,"Absolute top",IF(N58&gt;=Instellingen!$B$23,"Kopman",IF(N58&gt;=Instellingen!$B$24,"Sterke keuze",IF(N58&gt;=Instellingen!$B$25,"Bruikbaar","Gok")))))</f>
        <v>Bruikbaar</v>
      </c>
      <c r="P58" t="str">
        <f>IF(A58="","",IF(D58="","Rol invullen","Compleet"))</f>
        <v>Compleet</v>
      </c>
      <c r="Q58" t="s">
        <v>118</v>
      </c>
    </row>
    <row r="59" spans="1:17">
      <c r="A59" t="s">
        <v>205</v>
      </c>
      <c r="B59" t="s">
        <v>201</v>
      </c>
      <c r="C59" t="s">
        <v>21</v>
      </c>
      <c r="D59" t="s">
        <v>35</v>
      </c>
      <c r="E59">
        <v>1724</v>
      </c>
      <c r="F59">
        <v>467</v>
      </c>
      <c r="G59">
        <v>1362</v>
      </c>
      <c r="H59">
        <v>110</v>
      </c>
      <c r="I59">
        <f>IF(D59="","",IFERROR(VLOOKUP(D59,Instellingen!$D$5:$E$13,2,FALSE),""))</f>
        <v>65</v>
      </c>
      <c r="J59">
        <f>IF(C59="","",IF(C59="Ja",100,0))</f>
        <v>0</v>
      </c>
      <c r="K59">
        <f>IF(D59="","",SUM(I59*Instellingen!$B$5,J59*Instellingen!$B$6,IFERROR(E59/MAX($E$6:$E$189)*100,0)*Instellingen!$B$7,IFERROR(F59/MAX($F$6:$F$189)*100,0)*Instellingen!$B$8,IFERROR(G59/MAX($G$6:$G$189)*100,0)*Instellingen!$B$9,IFERROR(H59/MAX($H$6:$H$189)*100,0)*Instellingen!$B$10)/SUM(Instellingen!$B$5:$B$10))</f>
        <v>19.553107604574006</v>
      </c>
      <c r="L59">
        <f>IF(K59="","",ROUND((Instellingen!$B$16+(Instellingen!$B$17-Instellingen!$B$16)*POWER(K59/100,Instellingen!$B$18))/Instellingen!$B$19,0)*Instellingen!$B$19)</f>
        <v>709</v>
      </c>
      <c r="N59">
        <f>IF(L59="","",MAX(Instellingen!$B$16,MIN(Instellingen!$B$17,L59+IF(M59="",0,M59))))</f>
        <v>709</v>
      </c>
      <c r="O59" t="str">
        <f>IF(N59="","",IF(N59&gt;=Instellingen!$B$22,"Absolute top",IF(N59&gt;=Instellingen!$B$23,"Kopman",IF(N59&gt;=Instellingen!$B$24,"Sterke keuze",IF(N59&gt;=Instellingen!$B$25,"Bruikbaar","Gok")))))</f>
        <v>Bruikbaar</v>
      </c>
      <c r="P59" t="str">
        <f>IF(A59="","",IF(D59="","Rol invullen","Compleet"))</f>
        <v>Compleet</v>
      </c>
      <c r="Q59" t="s">
        <v>206</v>
      </c>
    </row>
    <row r="60" spans="1:17">
      <c r="A60" t="s">
        <v>104</v>
      </c>
      <c r="B60" t="s">
        <v>105</v>
      </c>
      <c r="C60" t="s">
        <v>21</v>
      </c>
      <c r="D60" t="s">
        <v>30</v>
      </c>
      <c r="E60">
        <v>2015</v>
      </c>
      <c r="F60">
        <v>258</v>
      </c>
      <c r="G60">
        <v>1812</v>
      </c>
      <c r="H60">
        <v>30</v>
      </c>
      <c r="I60">
        <f>IF(D60="","",IFERROR(VLOOKUP(D60,Instellingen!$D$5:$E$13,2,FALSE),""))</f>
        <v>55</v>
      </c>
      <c r="J60">
        <f>IF(C60="","",IF(C60="Ja",100,0))</f>
        <v>0</v>
      </c>
      <c r="K60">
        <f>IF(D60="","",SUM(I60*Instellingen!$B$5,J60*Instellingen!$B$6,IFERROR(E60/MAX($E$6:$E$189)*100,0)*Instellingen!$B$7,IFERROR(F60/MAX($F$6:$F$189)*100,0)*Instellingen!$B$8,IFERROR(G60/MAX($G$6:$G$189)*100,0)*Instellingen!$B$9,IFERROR(H60/MAX($H$6:$H$189)*100,0)*Instellingen!$B$10)/SUM(Instellingen!$B$5:$B$10))</f>
        <v>19.427540202538776</v>
      </c>
      <c r="L60">
        <f>IF(K60="","",ROUND((Instellingen!$B$16+(Instellingen!$B$17-Instellingen!$B$16)*POWER(K60/100,Instellingen!$B$18))/Instellingen!$B$19,0)*Instellingen!$B$19)</f>
        <v>705</v>
      </c>
      <c r="N60">
        <f>IF(L60="","",MAX(Instellingen!$B$16,MIN(Instellingen!$B$17,L60+IF(M60="",0,M60))))</f>
        <v>705</v>
      </c>
      <c r="O60" t="str">
        <f>IF(N60="","",IF(N60&gt;=Instellingen!$B$22,"Absolute top",IF(N60&gt;=Instellingen!$B$23,"Kopman",IF(N60&gt;=Instellingen!$B$24,"Sterke keuze",IF(N60&gt;=Instellingen!$B$25,"Bruikbaar","Gok")))))</f>
        <v>Bruikbaar</v>
      </c>
      <c r="P60" t="str">
        <f>IF(A60="","",IF(D60="","Rol invullen","Compleet"))</f>
        <v>Compleet</v>
      </c>
      <c r="Q60" t="s">
        <v>106</v>
      </c>
    </row>
    <row r="61" spans="1:17">
      <c r="A61" t="s">
        <v>274</v>
      </c>
      <c r="B61" t="s">
        <v>264</v>
      </c>
      <c r="C61" t="s">
        <v>21</v>
      </c>
      <c r="D61" t="s">
        <v>35</v>
      </c>
      <c r="E61">
        <v>1745</v>
      </c>
      <c r="F61">
        <v>396</v>
      </c>
      <c r="G61">
        <v>1294</v>
      </c>
      <c r="H61">
        <v>0</v>
      </c>
      <c r="I61">
        <f>IF(D61="","",IFERROR(VLOOKUP(D61,Instellingen!$D$5:$E$13,2,FALSE),""))</f>
        <v>65</v>
      </c>
      <c r="J61">
        <f>IF(C61="","",IF(C61="Ja",100,0))</f>
        <v>0</v>
      </c>
      <c r="K61">
        <f>IF(D61="","",SUM(I61*Instellingen!$B$5,J61*Instellingen!$B$6,IFERROR(E61/MAX($E$6:$E$189)*100,0)*Instellingen!$B$7,IFERROR(F61/MAX($F$6:$F$189)*100,0)*Instellingen!$B$8,IFERROR(G61/MAX($G$6:$G$189)*100,0)*Instellingen!$B$9,IFERROR(H61/MAX($H$6:$H$189)*100,0)*Instellingen!$B$10)/SUM(Instellingen!$B$5:$B$10))</f>
        <v>19.333584271709199</v>
      </c>
      <c r="L61">
        <f>IF(K61="","",ROUND((Instellingen!$B$16+(Instellingen!$B$17-Instellingen!$B$16)*POWER(K61/100,Instellingen!$B$18))/Instellingen!$B$19,0)*Instellingen!$B$19)</f>
        <v>702</v>
      </c>
      <c r="N61">
        <f>IF(L61="","",MAX(Instellingen!$B$16,MIN(Instellingen!$B$17,L61+IF(M61="",0,M61))))</f>
        <v>702</v>
      </c>
      <c r="O61" t="str">
        <f>IF(N61="","",IF(N61&gt;=Instellingen!$B$22,"Absolute top",IF(N61&gt;=Instellingen!$B$23,"Kopman",IF(N61&gt;=Instellingen!$B$24,"Sterke keuze",IF(N61&gt;=Instellingen!$B$25,"Bruikbaar","Gok")))))</f>
        <v>Bruikbaar</v>
      </c>
      <c r="P61" t="str">
        <f>IF(A61="","",IF(D61="","Rol invullen","Compleet"))</f>
        <v>Compleet</v>
      </c>
      <c r="Q61" t="s">
        <v>275</v>
      </c>
    </row>
    <row r="62" spans="1:17">
      <c r="A62" t="s">
        <v>316</v>
      </c>
      <c r="B62" t="s">
        <v>50</v>
      </c>
      <c r="C62" t="s">
        <v>25</v>
      </c>
      <c r="D62" t="s">
        <v>65</v>
      </c>
      <c r="E62">
        <v>296</v>
      </c>
      <c r="F62">
        <v>580</v>
      </c>
      <c r="G62">
        <v>173</v>
      </c>
      <c r="H62">
        <v>14</v>
      </c>
      <c r="I62">
        <f>IF(D62="","",IFERROR(VLOOKUP(D62,Instellingen!$D$5:$E$13,2,FALSE),""))</f>
        <v>45</v>
      </c>
      <c r="J62">
        <f>IF(C62="","",IF(C62="Ja",100,0))</f>
        <v>100</v>
      </c>
      <c r="K62">
        <f>IF(D62="","",SUM(I62*Instellingen!$B$5,J62*Instellingen!$B$6,IFERROR(E62/MAX($E$6:$E$189)*100,0)*Instellingen!$B$7,IFERROR(F62/MAX($F$6:$F$189)*100,0)*Instellingen!$B$8,IFERROR(G62/MAX($G$6:$G$189)*100,0)*Instellingen!$B$9,IFERROR(H62/MAX($H$6:$H$189)*100,0)*Instellingen!$B$10)/SUM(Instellingen!$B$5:$B$10))</f>
        <v>19.224533438684283</v>
      </c>
      <c r="L62">
        <f>IF(K62="","",ROUND((Instellingen!$B$16+(Instellingen!$B$17-Instellingen!$B$16)*POWER(K62/100,Instellingen!$B$18))/Instellingen!$B$19,0)*Instellingen!$B$19)</f>
        <v>699</v>
      </c>
      <c r="N62">
        <f>IF(L62="","",MAX(Instellingen!$B$16,MIN(Instellingen!$B$17,L62+IF(M62="",0,M62))))</f>
        <v>699</v>
      </c>
      <c r="O62" t="str">
        <f>IF(N62="","",IF(N62&gt;=Instellingen!$B$22,"Absolute top",IF(N62&gt;=Instellingen!$B$23,"Kopman",IF(N62&gt;=Instellingen!$B$24,"Sterke keuze",IF(N62&gt;=Instellingen!$B$25,"Bruikbaar","Gok")))))</f>
        <v>Gok</v>
      </c>
      <c r="P62" t="str">
        <f>IF(A62="","",IF(D62="","Rol invullen","Compleet"))</f>
        <v>Compleet</v>
      </c>
      <c r="Q62" t="s">
        <v>317</v>
      </c>
    </row>
    <row r="63" spans="1:17">
      <c r="A63" t="s">
        <v>398</v>
      </c>
      <c r="B63" t="s">
        <v>240</v>
      </c>
      <c r="C63" t="s">
        <v>21</v>
      </c>
      <c r="D63" t="s">
        <v>35</v>
      </c>
      <c r="E63">
        <v>1559</v>
      </c>
      <c r="F63">
        <v>418</v>
      </c>
      <c r="G63">
        <v>1188</v>
      </c>
      <c r="H63">
        <v>301</v>
      </c>
      <c r="I63">
        <f>IF(D63="","",IFERROR(VLOOKUP(D63,Instellingen!$D$5:$E$13,2,FALSE),""))</f>
        <v>65</v>
      </c>
      <c r="J63">
        <f>IF(C63="","",IF(C63="Ja",100,0))</f>
        <v>0</v>
      </c>
      <c r="K63">
        <f>IF(D63="","",SUM(I63*Instellingen!$B$5,J63*Instellingen!$B$6,IFERROR(E63/MAX($E$6:$E$189)*100,0)*Instellingen!$B$7,IFERROR(F63/MAX($F$6:$F$189)*100,0)*Instellingen!$B$8,IFERROR(G63/MAX($G$6:$G$189)*100,0)*Instellingen!$B$9,IFERROR(H63/MAX($H$6:$H$189)*100,0)*Instellingen!$B$10)/SUM(Instellingen!$B$5:$B$10))</f>
        <v>18.705425714013643</v>
      </c>
      <c r="L63">
        <f>IF(K63="","",ROUND((Instellingen!$B$16+(Instellingen!$B$17-Instellingen!$B$16)*POWER(K63/100,Instellingen!$B$18))/Instellingen!$B$19,0)*Instellingen!$B$19)</f>
        <v>685</v>
      </c>
      <c r="N63">
        <f>IF(L63="","",MAX(Instellingen!$B$16,MIN(Instellingen!$B$17,L63+IF(M63="",0,M63))))</f>
        <v>685</v>
      </c>
      <c r="O63" t="str">
        <f>IF(N63="","",IF(N63&gt;=Instellingen!$B$22,"Absolute top",IF(N63&gt;=Instellingen!$B$23,"Kopman",IF(N63&gt;=Instellingen!$B$24,"Sterke keuze",IF(N63&gt;=Instellingen!$B$25,"Bruikbaar","Gok")))))</f>
        <v>Gok</v>
      </c>
      <c r="P63" t="str">
        <f>IF(A63="","",IF(D63="","Rol invullen","Compleet"))</f>
        <v>Compleet</v>
      </c>
      <c r="Q63" t="s">
        <v>399</v>
      </c>
    </row>
    <row r="64" spans="1:17">
      <c r="A64" t="s">
        <v>344</v>
      </c>
      <c r="B64" t="s">
        <v>110</v>
      </c>
      <c r="C64" t="s">
        <v>25</v>
      </c>
      <c r="D64" t="s">
        <v>65</v>
      </c>
      <c r="E64">
        <v>239</v>
      </c>
      <c r="F64">
        <v>381</v>
      </c>
      <c r="G64">
        <v>206</v>
      </c>
      <c r="H64">
        <v>1</v>
      </c>
      <c r="I64">
        <f>IF(D64="","",IFERROR(VLOOKUP(D64,Instellingen!$D$5:$E$13,2,FALSE),""))</f>
        <v>45</v>
      </c>
      <c r="J64">
        <f>IF(C64="","",IF(C64="Ja",100,0))</f>
        <v>100</v>
      </c>
      <c r="K64">
        <f>IF(D64="","",SUM(I64*Instellingen!$B$5,J64*Instellingen!$B$6,IFERROR(E64/MAX($E$6:$E$189)*100,0)*Instellingen!$B$7,IFERROR(F64/MAX($F$6:$F$189)*100,0)*Instellingen!$B$8,IFERROR(G64/MAX($G$6:$G$189)*100,0)*Instellingen!$B$9,IFERROR(H64/MAX($H$6:$H$189)*100,0)*Instellingen!$B$10)/SUM(Instellingen!$B$5:$B$10))</f>
        <v>18.67776701094364</v>
      </c>
      <c r="L64">
        <f>IF(K64="","",ROUND((Instellingen!$B$16+(Instellingen!$B$17-Instellingen!$B$16)*POWER(K64/100,Instellingen!$B$18))/Instellingen!$B$19,0)*Instellingen!$B$19)</f>
        <v>684</v>
      </c>
      <c r="N64">
        <f>IF(L64="","",MAX(Instellingen!$B$16,MIN(Instellingen!$B$17,L64+IF(M64="",0,M64))))</f>
        <v>684</v>
      </c>
      <c r="O64" t="str">
        <f>IF(N64="","",IF(N64&gt;=Instellingen!$B$22,"Absolute top",IF(N64&gt;=Instellingen!$B$23,"Kopman",IF(N64&gt;=Instellingen!$B$24,"Sterke keuze",IF(N64&gt;=Instellingen!$B$25,"Bruikbaar","Gok")))))</f>
        <v>Gok</v>
      </c>
      <c r="P64" t="str">
        <f>IF(A64="","",IF(D64="","Rol invullen","Compleet"))</f>
        <v>Compleet</v>
      </c>
      <c r="Q64" t="s">
        <v>345</v>
      </c>
    </row>
    <row r="65" spans="1:17">
      <c r="A65" t="s">
        <v>352</v>
      </c>
      <c r="B65" t="s">
        <v>192</v>
      </c>
      <c r="C65" t="s">
        <v>21</v>
      </c>
      <c r="D65" t="s">
        <v>82</v>
      </c>
      <c r="E65">
        <v>376</v>
      </c>
      <c r="F65">
        <v>2785</v>
      </c>
      <c r="G65">
        <v>116</v>
      </c>
      <c r="H65">
        <v>118</v>
      </c>
      <c r="I65">
        <f>IF(D65="","",IFERROR(VLOOKUP(D65,Instellingen!$D$5:$E$13,2,FALSE),""))</f>
        <v>80</v>
      </c>
      <c r="J65">
        <f>IF(C65="","",IF(C65="Ja",100,0))</f>
        <v>0</v>
      </c>
      <c r="K65">
        <f>IF(D65="","",SUM(I65*Instellingen!$B$5,J65*Instellingen!$B$6,IFERROR(E65/MAX($E$6:$E$189)*100,0)*Instellingen!$B$7,IFERROR(F65/MAX($F$6:$F$189)*100,0)*Instellingen!$B$8,IFERROR(G65/MAX($G$6:$G$189)*100,0)*Instellingen!$B$9,IFERROR(H65/MAX($H$6:$H$189)*100,0)*Instellingen!$B$10)/SUM(Instellingen!$B$5:$B$10))</f>
        <v>18.681591268532859</v>
      </c>
      <c r="L65">
        <f>IF(K65="","",ROUND((Instellingen!$B$16+(Instellingen!$B$17-Instellingen!$B$16)*POWER(K65/100,Instellingen!$B$18))/Instellingen!$B$19,0)*Instellingen!$B$19)</f>
        <v>684</v>
      </c>
      <c r="N65">
        <f>IF(L65="","",MAX(Instellingen!$B$16,MIN(Instellingen!$B$17,L65+IF(M65="",0,M65))))</f>
        <v>684</v>
      </c>
      <c r="O65" t="str">
        <f>IF(N65="","",IF(N65&gt;=Instellingen!$B$22,"Absolute top",IF(N65&gt;=Instellingen!$B$23,"Kopman",IF(N65&gt;=Instellingen!$B$24,"Sterke keuze",IF(N65&gt;=Instellingen!$B$25,"Bruikbaar","Gok")))))</f>
        <v>Gok</v>
      </c>
      <c r="P65" t="str">
        <f>IF(A65="","",IF(D65="","Rol invullen","Compleet"))</f>
        <v>Compleet</v>
      </c>
      <c r="Q65" t="s">
        <v>353</v>
      </c>
    </row>
    <row r="66" spans="1:17">
      <c r="A66" t="s">
        <v>286</v>
      </c>
      <c r="B66" t="s">
        <v>20</v>
      </c>
      <c r="C66" t="s">
        <v>25</v>
      </c>
      <c r="D66" t="s">
        <v>65</v>
      </c>
      <c r="E66">
        <v>113</v>
      </c>
      <c r="F66">
        <v>630</v>
      </c>
      <c r="G66">
        <v>224</v>
      </c>
      <c r="H66">
        <v>2</v>
      </c>
      <c r="I66">
        <f>IF(D66="","",IFERROR(VLOOKUP(D66,Instellingen!$D$5:$E$13,2,FALSE),""))</f>
        <v>45</v>
      </c>
      <c r="J66">
        <f>IF(C66="","",IF(C66="Ja",100,0))</f>
        <v>100</v>
      </c>
      <c r="K66">
        <f>IF(D66="","",SUM(I66*Instellingen!$B$5,J66*Instellingen!$B$6,IFERROR(E66/MAX($E$6:$E$189)*100,0)*Instellingen!$B$7,IFERROR(F66/MAX($F$6:$F$189)*100,0)*Instellingen!$B$8,IFERROR(G66/MAX($G$6:$G$189)*100,0)*Instellingen!$B$9,IFERROR(H66/MAX($H$6:$H$189)*100,0)*Instellingen!$B$10)/SUM(Instellingen!$B$5:$B$10))</f>
        <v>18.628410274327493</v>
      </c>
      <c r="L66">
        <f>IF(K66="","",ROUND((Instellingen!$B$16+(Instellingen!$B$17-Instellingen!$B$16)*POWER(K66/100,Instellingen!$B$18))/Instellingen!$B$19,0)*Instellingen!$B$19)</f>
        <v>683</v>
      </c>
      <c r="N66">
        <f>IF(L66="","",MAX(Instellingen!$B$16,MIN(Instellingen!$B$17,L66+IF(M66="",0,M66))))</f>
        <v>683</v>
      </c>
      <c r="O66" t="str">
        <f>IF(N66="","",IF(N66&gt;=Instellingen!$B$22,"Absolute top",IF(N66&gt;=Instellingen!$B$23,"Kopman",IF(N66&gt;=Instellingen!$B$24,"Sterke keuze",IF(N66&gt;=Instellingen!$B$25,"Bruikbaar","Gok")))))</f>
        <v>Gok</v>
      </c>
      <c r="P66" t="str">
        <f>IF(A66="","",IF(D66="","Rol invullen","Compleet"))</f>
        <v>Compleet</v>
      </c>
      <c r="Q66" t="s">
        <v>287</v>
      </c>
    </row>
    <row r="67" spans="1:17">
      <c r="A67" t="s">
        <v>302</v>
      </c>
      <c r="B67" t="s">
        <v>45</v>
      </c>
      <c r="C67" t="s">
        <v>21</v>
      </c>
      <c r="D67" t="s">
        <v>82</v>
      </c>
      <c r="E67">
        <v>511</v>
      </c>
      <c r="F67">
        <v>2059</v>
      </c>
      <c r="G67">
        <v>618</v>
      </c>
      <c r="H67">
        <v>28</v>
      </c>
      <c r="I67">
        <f>IF(D67="","",IFERROR(VLOOKUP(D67,Instellingen!$D$5:$E$13,2,FALSE),""))</f>
        <v>80</v>
      </c>
      <c r="J67">
        <f>IF(C67="","",IF(C67="Ja",100,0))</f>
        <v>0</v>
      </c>
      <c r="K67">
        <f>IF(D67="","",SUM(I67*Instellingen!$B$5,J67*Instellingen!$B$6,IFERROR(E67/MAX($E$6:$E$189)*100,0)*Instellingen!$B$7,IFERROR(F67/MAX($F$6:$F$189)*100,0)*Instellingen!$B$8,IFERROR(G67/MAX($G$6:$G$189)*100,0)*Instellingen!$B$9,IFERROR(H67/MAX($H$6:$H$189)*100,0)*Instellingen!$B$10)/SUM(Instellingen!$B$5:$B$10))</f>
        <v>18.57548548496845</v>
      </c>
      <c r="L67">
        <f>IF(K67="","",ROUND((Instellingen!$B$16+(Instellingen!$B$17-Instellingen!$B$16)*POWER(K67/100,Instellingen!$B$18))/Instellingen!$B$19,0)*Instellingen!$B$19)</f>
        <v>681</v>
      </c>
      <c r="N67">
        <f>IF(L67="","",MAX(Instellingen!$B$16,MIN(Instellingen!$B$17,L67+IF(M67="",0,M67))))</f>
        <v>681</v>
      </c>
      <c r="O67" t="str">
        <f>IF(N67="","",IF(N67&gt;=Instellingen!$B$22,"Absolute top",IF(N67&gt;=Instellingen!$B$23,"Kopman",IF(N67&gt;=Instellingen!$B$24,"Sterke keuze",IF(N67&gt;=Instellingen!$B$25,"Bruikbaar","Gok")))))</f>
        <v>Gok</v>
      </c>
      <c r="P67" t="str">
        <f>IF(A67="","",IF(D67="","Rol invullen","Compleet"))</f>
        <v>Compleet</v>
      </c>
      <c r="Q67" t="s">
        <v>303</v>
      </c>
    </row>
    <row r="68" spans="1:17">
      <c r="A68" t="s">
        <v>179</v>
      </c>
      <c r="B68" t="s">
        <v>175</v>
      </c>
      <c r="C68" t="s">
        <v>21</v>
      </c>
      <c r="D68" t="s">
        <v>35</v>
      </c>
      <c r="E68">
        <v>1283</v>
      </c>
      <c r="F68">
        <v>191</v>
      </c>
      <c r="G68">
        <v>1380</v>
      </c>
      <c r="H68">
        <v>1722</v>
      </c>
      <c r="I68">
        <f>IF(D68="","",IFERROR(VLOOKUP(D68,Instellingen!$D$5:$E$13,2,FALSE),""))</f>
        <v>65</v>
      </c>
      <c r="J68">
        <f>IF(C68="","",IF(C68="Ja",100,0))</f>
        <v>0</v>
      </c>
      <c r="K68">
        <f>IF(D68="","",SUM(I68*Instellingen!$B$5,J68*Instellingen!$B$6,IFERROR(E68/MAX($E$6:$E$189)*100,0)*Instellingen!$B$7,IFERROR(F68/MAX($F$6:$F$189)*100,0)*Instellingen!$B$8,IFERROR(G68/MAX($G$6:$G$189)*100,0)*Instellingen!$B$9,IFERROR(H68/MAX($H$6:$H$189)*100,0)*Instellingen!$B$10)/SUM(Instellingen!$B$5:$B$10))</f>
        <v>18.563390024423619</v>
      </c>
      <c r="L68">
        <f>IF(K68="","",ROUND((Instellingen!$B$16+(Instellingen!$B$17-Instellingen!$B$16)*POWER(K68/100,Instellingen!$B$18))/Instellingen!$B$19,0)*Instellingen!$B$19)</f>
        <v>681</v>
      </c>
      <c r="M68">
        <v>125</v>
      </c>
      <c r="N68">
        <f>IF(L68="","",MAX(Instellingen!$B$16,MIN(Instellingen!$B$17,L68+IF(M68="",0,M68))))</f>
        <v>806</v>
      </c>
      <c r="O68" t="str">
        <f>IF(N68="","",IF(N68&gt;=Instellingen!$B$22,"Absolute top",IF(N68&gt;=Instellingen!$B$23,"Kopman",IF(N68&gt;=Instellingen!$B$24,"Sterke keuze",IF(N68&gt;=Instellingen!$B$25,"Bruikbaar","Gok")))))</f>
        <v>Bruikbaar</v>
      </c>
      <c r="P68" t="str">
        <f>IF(A68="","",IF(D68="","Rol invullen","Compleet"))</f>
        <v>Compleet</v>
      </c>
      <c r="Q68" t="s">
        <v>180</v>
      </c>
    </row>
    <row r="69" spans="1:17">
      <c r="A69" t="s">
        <v>326</v>
      </c>
      <c r="B69" t="s">
        <v>62</v>
      </c>
      <c r="C69" t="s">
        <v>21</v>
      </c>
      <c r="D69" t="s">
        <v>35</v>
      </c>
      <c r="E69">
        <v>1182</v>
      </c>
      <c r="F69">
        <v>295</v>
      </c>
      <c r="G69">
        <v>1870</v>
      </c>
      <c r="H69">
        <v>848</v>
      </c>
      <c r="I69">
        <f>IF(D69="","",IFERROR(VLOOKUP(D69,Instellingen!$D$5:$E$13,2,FALSE),""))</f>
        <v>65</v>
      </c>
      <c r="J69">
        <f>IF(C69="","",IF(C69="Ja",100,0))</f>
        <v>0</v>
      </c>
      <c r="K69">
        <f>IF(D69="","",SUM(I69*Instellingen!$B$5,J69*Instellingen!$B$6,IFERROR(E69/MAX($E$6:$E$189)*100,0)*Instellingen!$B$7,IFERROR(F69/MAX($F$6:$F$189)*100,0)*Instellingen!$B$8,IFERROR(G69/MAX($G$6:$G$189)*100,0)*Instellingen!$B$9,IFERROR(H69/MAX($H$6:$H$189)*100,0)*Instellingen!$B$10)/SUM(Instellingen!$B$5:$B$10))</f>
        <v>18.32413736128175</v>
      </c>
      <c r="L69">
        <f>IF(K69="","",ROUND((Instellingen!$B$16+(Instellingen!$B$17-Instellingen!$B$16)*POWER(K69/100,Instellingen!$B$18))/Instellingen!$B$19,0)*Instellingen!$B$19)</f>
        <v>674</v>
      </c>
      <c r="N69">
        <f>IF(L69="","",MAX(Instellingen!$B$16,MIN(Instellingen!$B$17,L69+IF(M69="",0,M69))))</f>
        <v>674</v>
      </c>
      <c r="O69" t="str">
        <f>IF(N69="","",IF(N69&gt;=Instellingen!$B$22,"Absolute top",IF(N69&gt;=Instellingen!$B$23,"Kopman",IF(N69&gt;=Instellingen!$B$24,"Sterke keuze",IF(N69&gt;=Instellingen!$B$25,"Bruikbaar","Gok")))))</f>
        <v>Gok</v>
      </c>
      <c r="P69" t="str">
        <f>IF(A69="","",IF(D69="","Rol invullen","Compleet"))</f>
        <v>Compleet</v>
      </c>
      <c r="Q69" t="s">
        <v>327</v>
      </c>
    </row>
    <row r="70" spans="1:17">
      <c r="A70" t="s">
        <v>332</v>
      </c>
      <c r="B70" t="s">
        <v>92</v>
      </c>
      <c r="C70" t="s">
        <v>21</v>
      </c>
      <c r="D70" t="s">
        <v>82</v>
      </c>
      <c r="E70">
        <v>499</v>
      </c>
      <c r="F70">
        <v>1810</v>
      </c>
      <c r="G70">
        <v>351</v>
      </c>
      <c r="H70">
        <v>633</v>
      </c>
      <c r="I70">
        <f>IF(D70="","",IFERROR(VLOOKUP(D70,Instellingen!$D$5:$E$13,2,FALSE),""))</f>
        <v>80</v>
      </c>
      <c r="J70">
        <f>IF(C70="","",IF(C70="Ja",100,0))</f>
        <v>0</v>
      </c>
      <c r="K70">
        <f>IF(D70="","",SUM(I70*Instellingen!$B$5,J70*Instellingen!$B$6,IFERROR(E70/MAX($E$6:$E$189)*100,0)*Instellingen!$B$7,IFERROR(F70/MAX($F$6:$F$189)*100,0)*Instellingen!$B$8,IFERROR(G70/MAX($G$6:$G$189)*100,0)*Instellingen!$B$9,IFERROR(H70/MAX($H$6:$H$189)*100,0)*Instellingen!$B$10)/SUM(Instellingen!$B$5:$B$10))</f>
        <v>18.19582239491648</v>
      </c>
      <c r="L70">
        <f>IF(K70="","",ROUND((Instellingen!$B$16+(Instellingen!$B$17-Instellingen!$B$16)*POWER(K70/100,Instellingen!$B$18))/Instellingen!$B$19,0)*Instellingen!$B$19)</f>
        <v>671</v>
      </c>
      <c r="N70">
        <f>IF(L70="","",MAX(Instellingen!$B$16,MIN(Instellingen!$B$17,L70+IF(M70="",0,M70))))</f>
        <v>671</v>
      </c>
      <c r="O70" t="str">
        <f>IF(N70="","",IF(N70&gt;=Instellingen!$B$22,"Absolute top",IF(N70&gt;=Instellingen!$B$23,"Kopman",IF(N70&gt;=Instellingen!$B$24,"Sterke keuze",IF(N70&gt;=Instellingen!$B$25,"Bruikbaar","Gok")))))</f>
        <v>Gok</v>
      </c>
      <c r="P70" t="str">
        <f>IF(A70="","",IF(D70="","Rol invullen","Compleet"))</f>
        <v>Compleet</v>
      </c>
      <c r="Q70" t="s">
        <v>333</v>
      </c>
    </row>
    <row r="71" spans="1:17">
      <c r="A71" t="s">
        <v>121</v>
      </c>
      <c r="B71" t="s">
        <v>117</v>
      </c>
      <c r="C71" t="s">
        <v>21</v>
      </c>
      <c r="D71" t="s">
        <v>82</v>
      </c>
      <c r="E71">
        <v>264</v>
      </c>
      <c r="F71">
        <v>2884</v>
      </c>
      <c r="G71">
        <v>10</v>
      </c>
      <c r="H71">
        <v>7</v>
      </c>
      <c r="I71">
        <f>IF(D71="","",IFERROR(VLOOKUP(D71,Instellingen!$D$5:$E$13,2,FALSE),""))</f>
        <v>80</v>
      </c>
      <c r="J71">
        <f>IF(C71="","",IF(C71="Ja",100,0))</f>
        <v>0</v>
      </c>
      <c r="K71">
        <f>IF(D71="","",SUM(I71*Instellingen!$B$5,J71*Instellingen!$B$6,IFERROR(E71/MAX($E$6:$E$189)*100,0)*Instellingen!$B$7,IFERROR(F71/MAX($F$6:$F$189)*100,0)*Instellingen!$B$8,IFERROR(G71/MAX($G$6:$G$189)*100,0)*Instellingen!$B$9,IFERROR(H71/MAX($H$6:$H$189)*100,0)*Instellingen!$B$10)/SUM(Instellingen!$B$5:$B$10))</f>
        <v>18.166503701971109</v>
      </c>
      <c r="L71">
        <f>IF(K71="","",ROUND((Instellingen!$B$16+(Instellingen!$B$17-Instellingen!$B$16)*POWER(K71/100,Instellingen!$B$18))/Instellingen!$B$19,0)*Instellingen!$B$19)</f>
        <v>670</v>
      </c>
      <c r="N71">
        <f>IF(L71="","",MAX(Instellingen!$B$16,MIN(Instellingen!$B$17,L71+IF(M71="",0,M71))))</f>
        <v>670</v>
      </c>
      <c r="O71" t="str">
        <f>IF(N71="","",IF(N71&gt;=Instellingen!$B$22,"Absolute top",IF(N71&gt;=Instellingen!$B$23,"Kopman",IF(N71&gt;=Instellingen!$B$24,"Sterke keuze",IF(N71&gt;=Instellingen!$B$25,"Bruikbaar","Gok")))))</f>
        <v>Gok</v>
      </c>
      <c r="P71" t="str">
        <f>IF(A71="","",IF(D71="","Rol invullen","Compleet"))</f>
        <v>Compleet</v>
      </c>
      <c r="Q71" t="s">
        <v>122</v>
      </c>
    </row>
    <row r="72" spans="1:17">
      <c r="A72" t="s">
        <v>98</v>
      </c>
      <c r="B72" t="s">
        <v>92</v>
      </c>
      <c r="C72" t="s">
        <v>25</v>
      </c>
      <c r="D72" t="s">
        <v>26</v>
      </c>
      <c r="E72">
        <v>503</v>
      </c>
      <c r="F72">
        <v>118</v>
      </c>
      <c r="G72">
        <v>552</v>
      </c>
      <c r="H72">
        <v>443</v>
      </c>
      <c r="I72">
        <f>IF(D72="","",IFERROR(VLOOKUP(D72,Instellingen!$D$5:$E$13,2,FALSE),""))</f>
        <v>30</v>
      </c>
      <c r="J72">
        <f>IF(C72="","",IF(C72="Ja",100,0))</f>
        <v>100</v>
      </c>
      <c r="K72">
        <f>IF(D72="","",SUM(I72*Instellingen!$B$5,J72*Instellingen!$B$6,IFERROR(E72/MAX($E$6:$E$189)*100,0)*Instellingen!$B$7,IFERROR(F72/MAX($F$6:$F$189)*100,0)*Instellingen!$B$8,IFERROR(G72/MAX($G$6:$G$189)*100,0)*Instellingen!$B$9,IFERROR(H72/MAX($H$6:$H$189)*100,0)*Instellingen!$B$10)/SUM(Instellingen!$B$5:$B$10))</f>
        <v>17.863946447912539</v>
      </c>
      <c r="L72">
        <f>IF(K72="","",ROUND((Instellingen!$B$16+(Instellingen!$B$17-Instellingen!$B$16)*POWER(K72/100,Instellingen!$B$18))/Instellingen!$B$19,0)*Instellingen!$B$19)</f>
        <v>662</v>
      </c>
      <c r="N72">
        <f>IF(L72="","",MAX(Instellingen!$B$16,MIN(Instellingen!$B$17,L72+IF(M72="",0,M72))))</f>
        <v>662</v>
      </c>
      <c r="O72" t="str">
        <f>IF(N72="","",IF(N72&gt;=Instellingen!$B$22,"Absolute top",IF(N72&gt;=Instellingen!$B$23,"Kopman",IF(N72&gt;=Instellingen!$B$24,"Sterke keuze",IF(N72&gt;=Instellingen!$B$25,"Bruikbaar","Gok")))))</f>
        <v>Gok</v>
      </c>
      <c r="P72" t="str">
        <f>IF(A72="","",IF(D72="","Rol invullen","Compleet"))</f>
        <v>Compleet</v>
      </c>
      <c r="Q72" t="s">
        <v>99</v>
      </c>
    </row>
    <row r="73" spans="1:17">
      <c r="A73" t="s">
        <v>166</v>
      </c>
      <c r="B73" t="s">
        <v>162</v>
      </c>
      <c r="C73" t="s">
        <v>25</v>
      </c>
      <c r="D73" t="s">
        <v>26</v>
      </c>
      <c r="E73">
        <v>630</v>
      </c>
      <c r="F73">
        <v>97</v>
      </c>
      <c r="G73">
        <v>395</v>
      </c>
      <c r="H73">
        <v>135</v>
      </c>
      <c r="I73">
        <f>IF(D73="","",IFERROR(VLOOKUP(D73,Instellingen!$D$5:$E$13,2,FALSE),""))</f>
        <v>30</v>
      </c>
      <c r="J73">
        <f>IF(C73="","",IF(C73="Ja",100,0))</f>
        <v>100</v>
      </c>
      <c r="K73">
        <f>IF(D73="","",SUM(I73*Instellingen!$B$5,J73*Instellingen!$B$6,IFERROR(E73/MAX($E$6:$E$189)*100,0)*Instellingen!$B$7,IFERROR(F73/MAX($F$6:$F$189)*100,0)*Instellingen!$B$8,IFERROR(G73/MAX($G$6:$G$189)*100,0)*Instellingen!$B$9,IFERROR(H73/MAX($H$6:$H$189)*100,0)*Instellingen!$B$10)/SUM(Instellingen!$B$5:$B$10))</f>
        <v>17.885668503821229</v>
      </c>
      <c r="L73">
        <f>IF(K73="","",ROUND((Instellingen!$B$16+(Instellingen!$B$17-Instellingen!$B$16)*POWER(K73/100,Instellingen!$B$18))/Instellingen!$B$19,0)*Instellingen!$B$19)</f>
        <v>662</v>
      </c>
      <c r="N73">
        <f>IF(L73="","",MAX(Instellingen!$B$16,MIN(Instellingen!$B$17,L73+IF(M73="",0,M73))))</f>
        <v>662</v>
      </c>
      <c r="O73" t="str">
        <f>IF(N73="","",IF(N73&gt;=Instellingen!$B$22,"Absolute top",IF(N73&gt;=Instellingen!$B$23,"Kopman",IF(N73&gt;=Instellingen!$B$24,"Sterke keuze",IF(N73&gt;=Instellingen!$B$25,"Bruikbaar","Gok")))))</f>
        <v>Gok</v>
      </c>
      <c r="P73" t="str">
        <f>IF(A73="","",IF(D73="","Rol invullen","Compleet"))</f>
        <v>Compleet</v>
      </c>
      <c r="Q73" t="s">
        <v>167</v>
      </c>
    </row>
    <row r="74" spans="1:17">
      <c r="A74" t="s">
        <v>310</v>
      </c>
      <c r="B74" t="s">
        <v>45</v>
      </c>
      <c r="C74" t="s">
        <v>25</v>
      </c>
      <c r="D74" t="s">
        <v>26</v>
      </c>
      <c r="E74">
        <v>451</v>
      </c>
      <c r="F74">
        <v>264</v>
      </c>
      <c r="G74">
        <v>608</v>
      </c>
      <c r="H74">
        <v>121</v>
      </c>
      <c r="I74">
        <f>IF(D74="","",IFERROR(VLOOKUP(D74,Instellingen!$D$5:$E$13,2,FALSE),""))</f>
        <v>30</v>
      </c>
      <c r="J74">
        <f>IF(C74="","",IF(C74="Ja",100,0))</f>
        <v>100</v>
      </c>
      <c r="K74">
        <f>IF(D74="","",SUM(I74*Instellingen!$B$5,J74*Instellingen!$B$6,IFERROR(E74/MAX($E$6:$E$189)*100,0)*Instellingen!$B$7,IFERROR(F74/MAX($F$6:$F$189)*100,0)*Instellingen!$B$8,IFERROR(G74/MAX($G$6:$G$189)*100,0)*Instellingen!$B$9,IFERROR(H74/MAX($H$6:$H$189)*100,0)*Instellingen!$B$10)/SUM(Instellingen!$B$5:$B$10))</f>
        <v>17.733348540685345</v>
      </c>
      <c r="L74">
        <f>IF(K74="","",ROUND((Instellingen!$B$16+(Instellingen!$B$17-Instellingen!$B$16)*POWER(K74/100,Instellingen!$B$18))/Instellingen!$B$19,0)*Instellingen!$B$19)</f>
        <v>658</v>
      </c>
      <c r="N74">
        <f>IF(L74="","",MAX(Instellingen!$B$16,MIN(Instellingen!$B$17,L74+IF(M74="",0,M74))))</f>
        <v>658</v>
      </c>
      <c r="O74" t="str">
        <f>IF(N74="","",IF(N74&gt;=Instellingen!$B$22,"Absolute top",IF(N74&gt;=Instellingen!$B$23,"Kopman",IF(N74&gt;=Instellingen!$B$24,"Sterke keuze",IF(N74&gt;=Instellingen!$B$25,"Bruikbaar","Gok")))))</f>
        <v>Gok</v>
      </c>
      <c r="P74" t="str">
        <f>IF(A74="","",IF(D74="","Rol invullen","Compleet"))</f>
        <v>Compleet</v>
      </c>
      <c r="Q74" t="s">
        <v>311</v>
      </c>
    </row>
    <row r="75" spans="1:17">
      <c r="A75" t="s">
        <v>261</v>
      </c>
      <c r="B75" t="s">
        <v>247</v>
      </c>
      <c r="C75" t="s">
        <v>25</v>
      </c>
      <c r="D75" t="s">
        <v>65</v>
      </c>
      <c r="E75">
        <v>0</v>
      </c>
      <c r="F75">
        <v>528</v>
      </c>
      <c r="G75">
        <v>32</v>
      </c>
      <c r="H75">
        <v>0</v>
      </c>
      <c r="I75">
        <f>IF(D75="","",IFERROR(VLOOKUP(D75,Instellingen!$D$5:$E$13,2,FALSE),""))</f>
        <v>45</v>
      </c>
      <c r="J75">
        <f>IF(C75="","",IF(C75="Ja",100,0))</f>
        <v>100</v>
      </c>
      <c r="K75">
        <f>IF(D75="","",SUM(I75*Instellingen!$B$5,J75*Instellingen!$B$6,IFERROR(E75/MAX($E$6:$E$189)*100,0)*Instellingen!$B$7,IFERROR(F75/MAX($F$6:$F$189)*100,0)*Instellingen!$B$8,IFERROR(G75/MAX($G$6:$G$189)*100,0)*Instellingen!$B$9,IFERROR(H75/MAX($H$6:$H$189)*100,0)*Instellingen!$B$10)/SUM(Instellingen!$B$5:$B$10))</f>
        <v>17.722787755203441</v>
      </c>
      <c r="L75">
        <f>IF(K75="","",ROUND((Instellingen!$B$16+(Instellingen!$B$17-Instellingen!$B$16)*POWER(K75/100,Instellingen!$B$18))/Instellingen!$B$19,0)*Instellingen!$B$19)</f>
        <v>658</v>
      </c>
      <c r="N75">
        <f>IF(L75="","",MAX(Instellingen!$B$16,MIN(Instellingen!$B$17,L75+IF(M75="",0,M75))))</f>
        <v>658</v>
      </c>
      <c r="O75" t="str">
        <f>IF(N75="","",IF(N75&gt;=Instellingen!$B$22,"Absolute top",IF(N75&gt;=Instellingen!$B$23,"Kopman",IF(N75&gt;=Instellingen!$B$24,"Sterke keuze",IF(N75&gt;=Instellingen!$B$25,"Bruikbaar","Gok")))))</f>
        <v>Gok</v>
      </c>
      <c r="P75" t="str">
        <f>IF(A75="","",IF(D75="","Rol invullen","Compleet"))</f>
        <v>Compleet</v>
      </c>
      <c r="Q75" t="s">
        <v>262</v>
      </c>
    </row>
    <row r="76" spans="1:17">
      <c r="A76" t="s">
        <v>282</v>
      </c>
      <c r="B76" t="s">
        <v>20</v>
      </c>
      <c r="C76" t="s">
        <v>21</v>
      </c>
      <c r="D76" t="s">
        <v>82</v>
      </c>
      <c r="E76">
        <v>291</v>
      </c>
      <c r="F76">
        <v>2106</v>
      </c>
      <c r="G76">
        <v>225</v>
      </c>
      <c r="H76">
        <v>359</v>
      </c>
      <c r="I76">
        <f>IF(D76="","",IFERROR(VLOOKUP(D76,Instellingen!$D$5:$E$13,2,FALSE),""))</f>
        <v>80</v>
      </c>
      <c r="J76">
        <f>IF(C76="","",IF(C76="Ja",100,0))</f>
        <v>0</v>
      </c>
      <c r="K76">
        <f>IF(D76="","",SUM(I76*Instellingen!$B$5,J76*Instellingen!$B$6,IFERROR(E76/MAX($E$6:$E$189)*100,0)*Instellingen!$B$7,IFERROR(F76/MAX($F$6:$F$189)*100,0)*Instellingen!$B$8,IFERROR(G76/MAX($G$6:$G$189)*100,0)*Instellingen!$B$9,IFERROR(H76/MAX($H$6:$H$189)*100,0)*Instellingen!$B$10)/SUM(Instellingen!$B$5:$B$10))</f>
        <v>17.480849405285969</v>
      </c>
      <c r="L76">
        <f>IF(K76="","",ROUND((Instellingen!$B$16+(Instellingen!$B$17-Instellingen!$B$16)*POWER(K76/100,Instellingen!$B$18))/Instellingen!$B$19,0)*Instellingen!$B$19)</f>
        <v>651</v>
      </c>
      <c r="N76">
        <f>IF(L76="","",MAX(Instellingen!$B$16,MIN(Instellingen!$B$17,L76+IF(M76="",0,M76))))</f>
        <v>651</v>
      </c>
      <c r="O76" t="str">
        <f>IF(N76="","",IF(N76&gt;=Instellingen!$B$22,"Absolute top",IF(N76&gt;=Instellingen!$B$23,"Kopman",IF(N76&gt;=Instellingen!$B$24,"Sterke keuze",IF(N76&gt;=Instellingen!$B$25,"Bruikbaar","Gok")))))</f>
        <v>Gok</v>
      </c>
      <c r="P76" t="str">
        <f>IF(A76="","",IF(D76="","Rol invullen","Compleet"))</f>
        <v>Compleet</v>
      </c>
      <c r="Q76" t="s">
        <v>283</v>
      </c>
    </row>
    <row r="77" spans="1:17">
      <c r="A77" t="s">
        <v>288</v>
      </c>
      <c r="B77" t="s">
        <v>20</v>
      </c>
      <c r="C77" t="s">
        <v>25</v>
      </c>
      <c r="D77" t="s">
        <v>65</v>
      </c>
      <c r="E77">
        <v>11</v>
      </c>
      <c r="F77">
        <v>378</v>
      </c>
      <c r="G77">
        <v>10</v>
      </c>
      <c r="H77">
        <v>2</v>
      </c>
      <c r="I77">
        <f>IF(D77="","",IFERROR(VLOOKUP(D77,Instellingen!$D$5:$E$13,2,FALSE),""))</f>
        <v>45</v>
      </c>
      <c r="J77">
        <f>IF(C77="","",IF(C77="Ja",100,0))</f>
        <v>100</v>
      </c>
      <c r="K77">
        <f>IF(D77="","",SUM(I77*Instellingen!$B$5,J77*Instellingen!$B$6,IFERROR(E77/MAX($E$6:$E$189)*100,0)*Instellingen!$B$7,IFERROR(F77/MAX($F$6:$F$189)*100,0)*Instellingen!$B$8,IFERROR(G77/MAX($G$6:$G$189)*100,0)*Instellingen!$B$9,IFERROR(H77/MAX($H$6:$H$189)*100,0)*Instellingen!$B$10)/SUM(Instellingen!$B$5:$B$10))</f>
        <v>17.47498210900261</v>
      </c>
      <c r="L77">
        <f>IF(K77="","",ROUND((Instellingen!$B$16+(Instellingen!$B$17-Instellingen!$B$16)*POWER(K77/100,Instellingen!$B$18))/Instellingen!$B$19,0)*Instellingen!$B$19)</f>
        <v>651</v>
      </c>
      <c r="N77">
        <f>IF(L77="","",MAX(Instellingen!$B$16,MIN(Instellingen!$B$17,L77+IF(M77="",0,M77))))</f>
        <v>651</v>
      </c>
      <c r="O77" t="str">
        <f>IF(N77="","",IF(N77&gt;=Instellingen!$B$22,"Absolute top",IF(N77&gt;=Instellingen!$B$23,"Kopman",IF(N77&gt;=Instellingen!$B$24,"Sterke keuze",IF(N77&gt;=Instellingen!$B$25,"Bruikbaar","Gok")))))</f>
        <v>Gok</v>
      </c>
      <c r="P77" t="str">
        <f>IF(A77="","",IF(D77="","Rol invullen","Compleet"))</f>
        <v>Compleet</v>
      </c>
      <c r="Q77" t="s">
        <v>289</v>
      </c>
    </row>
    <row r="78" spans="1:17">
      <c r="A78" t="s">
        <v>412</v>
      </c>
      <c r="B78" t="s">
        <v>57</v>
      </c>
      <c r="C78" t="s">
        <v>25</v>
      </c>
      <c r="D78" t="s">
        <v>26</v>
      </c>
      <c r="E78">
        <v>436</v>
      </c>
      <c r="F78">
        <v>109</v>
      </c>
      <c r="G78">
        <v>336</v>
      </c>
      <c r="H78">
        <v>39</v>
      </c>
      <c r="I78">
        <f>IF(D78="","",IFERROR(VLOOKUP(D78,Instellingen!$D$5:$E$13,2,FALSE),""))</f>
        <v>30</v>
      </c>
      <c r="J78">
        <f>IF(C78="","",IF(C78="Ja",100,0))</f>
        <v>100</v>
      </c>
      <c r="K78">
        <f>IF(D78="","",SUM(I78*Instellingen!$B$5,J78*Instellingen!$B$6,IFERROR(E78/MAX($E$6:$E$189)*100,0)*Instellingen!$B$7,IFERROR(F78/MAX($F$6:$F$189)*100,0)*Instellingen!$B$8,IFERROR(G78/MAX($G$6:$G$189)*100,0)*Instellingen!$B$9,IFERROR(H78/MAX($H$6:$H$189)*100,0)*Instellingen!$B$10)/SUM(Instellingen!$B$5:$B$10))</f>
        <v>16.960328760268933</v>
      </c>
      <c r="L78">
        <f>IF(K78="","",ROUND((Instellingen!$B$16+(Instellingen!$B$17-Instellingen!$B$16)*POWER(K78/100,Instellingen!$B$18))/Instellingen!$B$19,0)*Instellingen!$B$19)</f>
        <v>637</v>
      </c>
      <c r="N78">
        <f>IF(L78="","",MAX(Instellingen!$B$16,MIN(Instellingen!$B$17,L78+IF(M78="",0,M78))))</f>
        <v>637</v>
      </c>
      <c r="O78" t="str">
        <f>IF(N78="","",IF(N78&gt;=Instellingen!$B$22,"Absolute top",IF(N78&gt;=Instellingen!$B$23,"Kopman",IF(N78&gt;=Instellingen!$B$24,"Sterke keuze",IF(N78&gt;=Instellingen!$B$25,"Bruikbaar","Gok")))))</f>
        <v>Gok</v>
      </c>
      <c r="P78" t="str">
        <f>IF(A78="","",IF(D78="","Rol invullen","Compleet"))</f>
        <v>Compleet</v>
      </c>
      <c r="Q78" t="s">
        <v>413</v>
      </c>
    </row>
    <row r="79" spans="1:17">
      <c r="A79" t="s">
        <v>119</v>
      </c>
      <c r="B79" t="s">
        <v>117</v>
      </c>
      <c r="C79" t="s">
        <v>21</v>
      </c>
      <c r="D79" t="s">
        <v>30</v>
      </c>
      <c r="E79">
        <v>1347</v>
      </c>
      <c r="F79">
        <v>771</v>
      </c>
      <c r="G79">
        <v>1285</v>
      </c>
      <c r="H79">
        <v>73</v>
      </c>
      <c r="I79">
        <f>IF(D79="","",IFERROR(VLOOKUP(D79,Instellingen!$D$5:$E$13,2,FALSE),""))</f>
        <v>55</v>
      </c>
      <c r="J79">
        <f>IF(C79="","",IF(C79="Ja",100,0))</f>
        <v>0</v>
      </c>
      <c r="K79">
        <f>IF(D79="","",SUM(I79*Instellingen!$B$5,J79*Instellingen!$B$6,IFERROR(E79/MAX($E$6:$E$189)*100,0)*Instellingen!$B$7,IFERROR(F79/MAX($F$6:$F$189)*100,0)*Instellingen!$B$8,IFERROR(G79/MAX($G$6:$G$189)*100,0)*Instellingen!$B$9,IFERROR(H79/MAX($H$6:$H$189)*100,0)*Instellingen!$B$10)/SUM(Instellingen!$B$5:$B$10))</f>
        <v>16.917942688010015</v>
      </c>
      <c r="L79">
        <f>IF(K79="","",ROUND((Instellingen!$B$16+(Instellingen!$B$17-Instellingen!$B$16)*POWER(K79/100,Instellingen!$B$18))/Instellingen!$B$19,0)*Instellingen!$B$19)</f>
        <v>636</v>
      </c>
      <c r="N79">
        <f>IF(L79="","",MAX(Instellingen!$B$16,MIN(Instellingen!$B$17,L79+IF(M79="",0,M79))))</f>
        <v>636</v>
      </c>
      <c r="O79" t="str">
        <f>IF(N79="","",IF(N79&gt;=Instellingen!$B$22,"Absolute top",IF(N79&gt;=Instellingen!$B$23,"Kopman",IF(N79&gt;=Instellingen!$B$24,"Sterke keuze",IF(N79&gt;=Instellingen!$B$25,"Bruikbaar","Gok")))))</f>
        <v>Gok</v>
      </c>
      <c r="P79" t="str">
        <f>IF(A79="","",IF(D79="","Rol invullen","Compleet"))</f>
        <v>Compleet</v>
      </c>
      <c r="Q79" t="s">
        <v>120</v>
      </c>
    </row>
    <row r="80" spans="1:17">
      <c r="A80" t="s">
        <v>400</v>
      </c>
      <c r="B80" t="s">
        <v>240</v>
      </c>
      <c r="C80" t="s">
        <v>25</v>
      </c>
      <c r="D80" t="s">
        <v>26</v>
      </c>
      <c r="E80">
        <v>411</v>
      </c>
      <c r="F80">
        <v>94</v>
      </c>
      <c r="G80">
        <v>332</v>
      </c>
      <c r="H80">
        <v>1</v>
      </c>
      <c r="I80">
        <f>IF(D80="","",IFERROR(VLOOKUP(D80,Instellingen!$D$5:$E$13,2,FALSE),""))</f>
        <v>30</v>
      </c>
      <c r="J80">
        <f>IF(C80="","",IF(C80="Ja",100,0))</f>
        <v>100</v>
      </c>
      <c r="K80">
        <f>IF(D80="","",SUM(I80*Instellingen!$B$5,J80*Instellingen!$B$6,IFERROR(E80/MAX($E$6:$E$189)*100,0)*Instellingen!$B$7,IFERROR(F80/MAX($F$6:$F$189)*100,0)*Instellingen!$B$8,IFERROR(G80/MAX($G$6:$G$189)*100,0)*Instellingen!$B$9,IFERROR(H80/MAX($H$6:$H$189)*100,0)*Instellingen!$B$10)/SUM(Instellingen!$B$5:$B$10))</f>
        <v>16.796818253886848</v>
      </c>
      <c r="L80">
        <f>IF(K80="","",ROUND((Instellingen!$B$16+(Instellingen!$B$17-Instellingen!$B$16)*POWER(K80/100,Instellingen!$B$18))/Instellingen!$B$19,0)*Instellingen!$B$19)</f>
        <v>633</v>
      </c>
      <c r="N80">
        <f>IF(L80="","",MAX(Instellingen!$B$16,MIN(Instellingen!$B$17,L80+IF(M80="",0,M80))))</f>
        <v>633</v>
      </c>
      <c r="O80" t="str">
        <f>IF(N80="","",IF(N80&gt;=Instellingen!$B$22,"Absolute top",IF(N80&gt;=Instellingen!$B$23,"Kopman",IF(N80&gt;=Instellingen!$B$24,"Sterke keuze",IF(N80&gt;=Instellingen!$B$25,"Bruikbaar","Gok")))))</f>
        <v>Gok</v>
      </c>
      <c r="P80" t="str">
        <f>IF(A80="","",IF(D80="","Rol invullen","Compleet"))</f>
        <v>Compleet</v>
      </c>
      <c r="Q80" t="s">
        <v>401</v>
      </c>
    </row>
    <row r="81" spans="1:17">
      <c r="A81" t="s">
        <v>229</v>
      </c>
      <c r="B81" t="s">
        <v>223</v>
      </c>
      <c r="C81" t="s">
        <v>21</v>
      </c>
      <c r="D81" t="s">
        <v>82</v>
      </c>
      <c r="E81">
        <v>529</v>
      </c>
      <c r="F81">
        <v>1027</v>
      </c>
      <c r="G81">
        <v>130</v>
      </c>
      <c r="H81">
        <v>776</v>
      </c>
      <c r="I81">
        <f>IF(D81="","",IFERROR(VLOOKUP(D81,Instellingen!$D$5:$E$13,2,FALSE),""))</f>
        <v>80</v>
      </c>
      <c r="J81">
        <f>IF(C81="","",IF(C81="Ja",100,0))</f>
        <v>0</v>
      </c>
      <c r="K81">
        <f>IF(D81="","",SUM(I81*Instellingen!$B$5,J81*Instellingen!$B$6,IFERROR(E81/MAX($E$6:$E$189)*100,0)*Instellingen!$B$7,IFERROR(F81/MAX($F$6:$F$189)*100,0)*Instellingen!$B$8,IFERROR(G81/MAX($G$6:$G$189)*100,0)*Instellingen!$B$9,IFERROR(H81/MAX($H$6:$H$189)*100,0)*Instellingen!$B$10)/SUM(Instellingen!$B$5:$B$10))</f>
        <v>16.748440160193603</v>
      </c>
      <c r="L81">
        <f>IF(K81="","",ROUND((Instellingen!$B$16+(Instellingen!$B$17-Instellingen!$B$16)*POWER(K81/100,Instellingen!$B$18))/Instellingen!$B$19,0)*Instellingen!$B$19)</f>
        <v>632</v>
      </c>
      <c r="N81">
        <f>IF(L81="","",MAX(Instellingen!$B$16,MIN(Instellingen!$B$17,L81+IF(M81="",0,M81))))</f>
        <v>632</v>
      </c>
      <c r="O81" t="str">
        <f>IF(N81="","",IF(N81&gt;=Instellingen!$B$22,"Absolute top",IF(N81&gt;=Instellingen!$B$23,"Kopman",IF(N81&gt;=Instellingen!$B$24,"Sterke keuze",IF(N81&gt;=Instellingen!$B$25,"Bruikbaar","Gok")))))</f>
        <v>Gok</v>
      </c>
      <c r="P81" t="str">
        <f>IF(A81="","",IF(D81="","Rol invullen","Compleet"))</f>
        <v>Compleet</v>
      </c>
      <c r="Q81" t="s">
        <v>230</v>
      </c>
    </row>
    <row r="82" spans="1:17">
      <c r="A82" t="s">
        <v>159</v>
      </c>
      <c r="B82" t="s">
        <v>145</v>
      </c>
      <c r="C82" t="s">
        <v>21</v>
      </c>
      <c r="D82" t="s">
        <v>82</v>
      </c>
      <c r="E82">
        <v>452</v>
      </c>
      <c r="F82">
        <v>1420</v>
      </c>
      <c r="G82">
        <v>146</v>
      </c>
      <c r="H82">
        <v>200</v>
      </c>
      <c r="I82">
        <f>IF(D82="","",IFERROR(VLOOKUP(D82,Instellingen!$D$5:$E$13,2,FALSE),""))</f>
        <v>80</v>
      </c>
      <c r="J82">
        <f>IF(C82="","",IF(C82="Ja",100,0))</f>
        <v>0</v>
      </c>
      <c r="K82">
        <f>IF(D82="","",SUM(I82*Instellingen!$B$5,J82*Instellingen!$B$6,IFERROR(E82/MAX($E$6:$E$189)*100,0)*Instellingen!$B$7,IFERROR(F82/MAX($F$6:$F$189)*100,0)*Instellingen!$B$8,IFERROR(G82/MAX($G$6:$G$189)*100,0)*Instellingen!$B$9,IFERROR(H82/MAX($H$6:$H$189)*100,0)*Instellingen!$B$10)/SUM(Instellingen!$B$5:$B$10))</f>
        <v>16.695878630916813</v>
      </c>
      <c r="L82">
        <f>IF(K82="","",ROUND((Instellingen!$B$16+(Instellingen!$B$17-Instellingen!$B$16)*POWER(K82/100,Instellingen!$B$18))/Instellingen!$B$19,0)*Instellingen!$B$19)</f>
        <v>630</v>
      </c>
      <c r="N82">
        <f>IF(L82="","",MAX(Instellingen!$B$16,MIN(Instellingen!$B$17,L82+IF(M82="",0,M82))))</f>
        <v>630</v>
      </c>
      <c r="O82" t="str">
        <f>IF(N82="","",IF(N82&gt;=Instellingen!$B$22,"Absolute top",IF(N82&gt;=Instellingen!$B$23,"Kopman",IF(N82&gt;=Instellingen!$B$24,"Sterke keuze",IF(N82&gt;=Instellingen!$B$25,"Bruikbaar","Gok")))))</f>
        <v>Gok</v>
      </c>
      <c r="P82" t="str">
        <f>IF(A82="","",IF(D82="","Rol invullen","Compleet"))</f>
        <v>Compleet</v>
      </c>
      <c r="Q82" t="s">
        <v>160</v>
      </c>
    </row>
    <row r="83" spans="1:17">
      <c r="A83" t="s">
        <v>200</v>
      </c>
      <c r="B83" t="s">
        <v>201</v>
      </c>
      <c r="C83" t="s">
        <v>21</v>
      </c>
      <c r="D83" t="s">
        <v>30</v>
      </c>
      <c r="E83">
        <v>1244</v>
      </c>
      <c r="F83">
        <v>1426</v>
      </c>
      <c r="G83">
        <v>474</v>
      </c>
      <c r="H83">
        <v>275</v>
      </c>
      <c r="I83">
        <f>IF(D83="","",IFERROR(VLOOKUP(D83,Instellingen!$D$5:$E$13,2,FALSE),""))</f>
        <v>55</v>
      </c>
      <c r="J83">
        <f>IF(C83="","",IF(C83="Ja",100,0))</f>
        <v>0</v>
      </c>
      <c r="K83">
        <f>IF(D83="","",SUM(I83*Instellingen!$B$5,J83*Instellingen!$B$6,IFERROR(E83/MAX($E$6:$E$189)*100,0)*Instellingen!$B$7,IFERROR(F83/MAX($F$6:$F$189)*100,0)*Instellingen!$B$8,IFERROR(G83/MAX($G$6:$G$189)*100,0)*Instellingen!$B$9,IFERROR(H83/MAX($H$6:$H$189)*100,0)*Instellingen!$B$10)/SUM(Instellingen!$B$5:$B$10))</f>
        <v>16.691466838511314</v>
      </c>
      <c r="L83">
        <f>IF(K83="","",ROUND((Instellingen!$B$16+(Instellingen!$B$17-Instellingen!$B$16)*POWER(K83/100,Instellingen!$B$18))/Instellingen!$B$19,0)*Instellingen!$B$19)</f>
        <v>630</v>
      </c>
      <c r="N83">
        <f>IF(L83="","",MAX(Instellingen!$B$16,MIN(Instellingen!$B$17,L83+IF(M83="",0,M83))))</f>
        <v>630</v>
      </c>
      <c r="O83" t="str">
        <f>IF(N83="","",IF(N83&gt;=Instellingen!$B$22,"Absolute top",IF(N83&gt;=Instellingen!$B$23,"Kopman",IF(N83&gt;=Instellingen!$B$24,"Sterke keuze",IF(N83&gt;=Instellingen!$B$25,"Bruikbaar","Gok")))))</f>
        <v>Gok</v>
      </c>
      <c r="P83" t="str">
        <f>IF(A83="","",IF(D83="","Rol invullen","Compleet"))</f>
        <v>Compleet</v>
      </c>
      <c r="Q83" t="s">
        <v>202</v>
      </c>
    </row>
    <row r="84" spans="1:17">
      <c r="A84" t="s">
        <v>378</v>
      </c>
      <c r="B84" t="s">
        <v>29</v>
      </c>
      <c r="C84" t="s">
        <v>21</v>
      </c>
      <c r="D84" t="s">
        <v>30</v>
      </c>
      <c r="E84">
        <v>1229</v>
      </c>
      <c r="F84">
        <v>825</v>
      </c>
      <c r="G84">
        <v>1233</v>
      </c>
      <c r="H84">
        <v>332</v>
      </c>
      <c r="I84">
        <f>IF(D84="","",IFERROR(VLOOKUP(D84,Instellingen!$D$5:$E$13,2,FALSE),""))</f>
        <v>55</v>
      </c>
      <c r="J84">
        <f>IF(C84="","",IF(C84="Ja",100,0))</f>
        <v>0</v>
      </c>
      <c r="K84">
        <f>IF(D84="","",SUM(I84*Instellingen!$B$5,J84*Instellingen!$B$6,IFERROR(E84/MAX($E$6:$E$189)*100,0)*Instellingen!$B$7,IFERROR(F84/MAX($F$6:$F$189)*100,0)*Instellingen!$B$8,IFERROR(G84/MAX($G$6:$G$189)*100,0)*Instellingen!$B$9,IFERROR(H84/MAX($H$6:$H$189)*100,0)*Instellingen!$B$10)/SUM(Instellingen!$B$5:$B$10))</f>
        <v>16.664323317845852</v>
      </c>
      <c r="L84">
        <f>IF(K84="","",ROUND((Instellingen!$B$16+(Instellingen!$B$17-Instellingen!$B$16)*POWER(K84/100,Instellingen!$B$18))/Instellingen!$B$19,0)*Instellingen!$B$19)</f>
        <v>629</v>
      </c>
      <c r="N84">
        <f>IF(L84="","",MAX(Instellingen!$B$16,MIN(Instellingen!$B$17,L84+IF(M84="",0,M84))))</f>
        <v>629</v>
      </c>
      <c r="O84" t="str">
        <f>IF(N84="","",IF(N84&gt;=Instellingen!$B$22,"Absolute top",IF(N84&gt;=Instellingen!$B$23,"Kopman",IF(N84&gt;=Instellingen!$B$24,"Sterke keuze",IF(N84&gt;=Instellingen!$B$25,"Bruikbaar","Gok")))))</f>
        <v>Gok</v>
      </c>
      <c r="P84" t="str">
        <f>IF(A84="","",IF(D84="","Rol invullen","Compleet"))</f>
        <v>Compleet</v>
      </c>
      <c r="Q84" t="s">
        <v>379</v>
      </c>
    </row>
    <row r="85" spans="1:17">
      <c r="A85" t="s">
        <v>298</v>
      </c>
      <c r="B85" t="s">
        <v>38</v>
      </c>
      <c r="C85" t="s">
        <v>21</v>
      </c>
      <c r="D85" t="s">
        <v>30</v>
      </c>
      <c r="E85">
        <v>1212</v>
      </c>
      <c r="F85">
        <v>937</v>
      </c>
      <c r="G85">
        <v>1205</v>
      </c>
      <c r="H85">
        <v>214</v>
      </c>
      <c r="I85">
        <f>IF(D85="","",IFERROR(VLOOKUP(D85,Instellingen!$D$5:$E$13,2,FALSE),""))</f>
        <v>55</v>
      </c>
      <c r="J85">
        <f>IF(C85="","",IF(C85="Ja",100,0))</f>
        <v>0</v>
      </c>
      <c r="K85">
        <f>IF(D85="","",SUM(I85*Instellingen!$B$5,J85*Instellingen!$B$6,IFERROR(E85/MAX($E$6:$E$189)*100,0)*Instellingen!$B$7,IFERROR(F85/MAX($F$6:$F$189)*100,0)*Instellingen!$B$8,IFERROR(G85/MAX($G$6:$G$189)*100,0)*Instellingen!$B$9,IFERROR(H85/MAX($H$6:$H$189)*100,0)*Instellingen!$B$10)/SUM(Instellingen!$B$5:$B$10))</f>
        <v>16.660837818653761</v>
      </c>
      <c r="L85">
        <f>IF(K85="","",ROUND((Instellingen!$B$16+(Instellingen!$B$17-Instellingen!$B$16)*POWER(K85/100,Instellingen!$B$18))/Instellingen!$B$19,0)*Instellingen!$B$19)</f>
        <v>629</v>
      </c>
      <c r="N85">
        <f>IF(L85="","",MAX(Instellingen!$B$16,MIN(Instellingen!$B$17,L85+IF(M85="",0,M85))))</f>
        <v>629</v>
      </c>
      <c r="O85" t="str">
        <f>IF(N85="","",IF(N85&gt;=Instellingen!$B$22,"Absolute top",IF(N85&gt;=Instellingen!$B$23,"Kopman",IF(N85&gt;=Instellingen!$B$24,"Sterke keuze",IF(N85&gt;=Instellingen!$B$25,"Bruikbaar","Gok")))))</f>
        <v>Gok</v>
      </c>
      <c r="P85" t="str">
        <f>IF(A85="","",IF(D85="","Rol invullen","Compleet"))</f>
        <v>Compleet</v>
      </c>
      <c r="Q85" t="s">
        <v>299</v>
      </c>
    </row>
    <row r="86" spans="1:17">
      <c r="A86" t="s">
        <v>42</v>
      </c>
      <c r="B86" t="s">
        <v>38</v>
      </c>
      <c r="C86" t="s">
        <v>25</v>
      </c>
      <c r="D86" t="s">
        <v>26</v>
      </c>
      <c r="E86">
        <v>234</v>
      </c>
      <c r="F86">
        <v>314</v>
      </c>
      <c r="G86">
        <v>351</v>
      </c>
      <c r="H86">
        <v>23</v>
      </c>
      <c r="I86">
        <f>IF(D86="","",IFERROR(VLOOKUP(D86,Instellingen!$D$5:$E$13,2,FALSE),""))</f>
        <v>30</v>
      </c>
      <c r="J86">
        <f>IF(C86="","",IF(C86="Ja",100,0))</f>
        <v>100</v>
      </c>
      <c r="K86">
        <f>IF(D86="","",SUM(I86*Instellingen!$B$5,J86*Instellingen!$B$6,IFERROR(E86/MAX($E$6:$E$189)*100,0)*Instellingen!$B$7,IFERROR(F86/MAX($F$6:$F$189)*100,0)*Instellingen!$B$8,IFERROR(G86/MAX($G$6:$G$189)*100,0)*Instellingen!$B$9,IFERROR(H86/MAX($H$6:$H$189)*100,0)*Instellingen!$B$10)/SUM(Instellingen!$B$5:$B$10))</f>
        <v>16.506720446463028</v>
      </c>
      <c r="L86">
        <f>IF(K86="","",ROUND((Instellingen!$B$16+(Instellingen!$B$17-Instellingen!$B$16)*POWER(K86/100,Instellingen!$B$18))/Instellingen!$B$19,0)*Instellingen!$B$19)</f>
        <v>625</v>
      </c>
      <c r="N86">
        <f>IF(L86="","",MAX(Instellingen!$B$16,MIN(Instellingen!$B$17,L86+IF(M86="",0,M86))))</f>
        <v>625</v>
      </c>
      <c r="O86" t="str">
        <f>IF(N86="","",IF(N86&gt;=Instellingen!$B$22,"Absolute top",IF(N86&gt;=Instellingen!$B$23,"Kopman",IF(N86&gt;=Instellingen!$B$24,"Sterke keuze",IF(N86&gt;=Instellingen!$B$25,"Bruikbaar","Gok")))))</f>
        <v>Gok</v>
      </c>
      <c r="P86" t="str">
        <f>IF(A86="","",IF(D86="","Rol invullen","Compleet"))</f>
        <v>Compleet</v>
      </c>
      <c r="Q86" t="s">
        <v>43</v>
      </c>
    </row>
    <row r="87" spans="1:17">
      <c r="A87" t="s">
        <v>394</v>
      </c>
      <c r="B87" t="s">
        <v>117</v>
      </c>
      <c r="C87" t="s">
        <v>25</v>
      </c>
      <c r="D87" t="s">
        <v>26</v>
      </c>
      <c r="E87">
        <v>204</v>
      </c>
      <c r="F87">
        <v>241</v>
      </c>
      <c r="G87">
        <v>454</v>
      </c>
      <c r="H87">
        <v>24</v>
      </c>
      <c r="I87">
        <f>IF(D87="","",IFERROR(VLOOKUP(D87,Instellingen!$D$5:$E$13,2,FALSE),""))</f>
        <v>30</v>
      </c>
      <c r="J87">
        <f>IF(C87="","",IF(C87="Ja",100,0))</f>
        <v>100</v>
      </c>
      <c r="K87">
        <f>IF(D87="","",SUM(I87*Instellingen!$B$5,J87*Instellingen!$B$6,IFERROR(E87/MAX($E$6:$E$189)*100,0)*Instellingen!$B$7,IFERROR(F87/MAX($F$6:$F$189)*100,0)*Instellingen!$B$8,IFERROR(G87/MAX($G$6:$G$189)*100,0)*Instellingen!$B$9,IFERROR(H87/MAX($H$6:$H$189)*100,0)*Instellingen!$B$10)/SUM(Instellingen!$B$5:$B$10))</f>
        <v>16.398965224210318</v>
      </c>
      <c r="L87">
        <f>IF(K87="","",ROUND((Instellingen!$B$16+(Instellingen!$B$17-Instellingen!$B$16)*POWER(K87/100,Instellingen!$B$18))/Instellingen!$B$19,0)*Instellingen!$B$19)</f>
        <v>622</v>
      </c>
      <c r="N87">
        <f>IF(L87="","",MAX(Instellingen!$B$16,MIN(Instellingen!$B$17,L87+IF(M87="",0,M87))))</f>
        <v>622</v>
      </c>
      <c r="O87" t="str">
        <f>IF(N87="","",IF(N87&gt;=Instellingen!$B$22,"Absolute top",IF(N87&gt;=Instellingen!$B$23,"Kopman",IF(N87&gt;=Instellingen!$B$24,"Sterke keuze",IF(N87&gt;=Instellingen!$B$25,"Bruikbaar","Gok")))))</f>
        <v>Gok</v>
      </c>
      <c r="P87" t="str">
        <f>IF(A87="","",IF(D87="","Rol invullen","Compleet"))</f>
        <v>Compleet</v>
      </c>
      <c r="Q87" t="s">
        <v>395</v>
      </c>
    </row>
    <row r="88" spans="1:17">
      <c r="A88" t="s">
        <v>132</v>
      </c>
      <c r="B88" t="s">
        <v>128</v>
      </c>
      <c r="C88" t="s">
        <v>21</v>
      </c>
      <c r="D88" t="s">
        <v>82</v>
      </c>
      <c r="E88">
        <v>366</v>
      </c>
      <c r="F88">
        <v>1098</v>
      </c>
      <c r="G88">
        <v>713</v>
      </c>
      <c r="H88">
        <v>6</v>
      </c>
      <c r="I88">
        <f>IF(D88="","",IFERROR(VLOOKUP(D88,Instellingen!$D$5:$E$13,2,FALSE),""))</f>
        <v>80</v>
      </c>
      <c r="J88">
        <f>IF(C88="","",IF(C88="Ja",100,0))</f>
        <v>0</v>
      </c>
      <c r="K88">
        <f>IF(D88="","",SUM(I88*Instellingen!$B$5,J88*Instellingen!$B$6,IFERROR(E88/MAX($E$6:$E$189)*100,0)*Instellingen!$B$7,IFERROR(F88/MAX($F$6:$F$189)*100,0)*Instellingen!$B$8,IFERROR(G88/MAX($G$6:$G$189)*100,0)*Instellingen!$B$9,IFERROR(H88/MAX($H$6:$H$189)*100,0)*Instellingen!$B$10)/SUM(Instellingen!$B$5:$B$10))</f>
        <v>16.408638125880792</v>
      </c>
      <c r="L88">
        <f>IF(K88="","",ROUND((Instellingen!$B$16+(Instellingen!$B$17-Instellingen!$B$16)*POWER(K88/100,Instellingen!$B$18))/Instellingen!$B$19,0)*Instellingen!$B$19)</f>
        <v>623</v>
      </c>
      <c r="N88">
        <f>IF(L88="","",MAX(Instellingen!$B$16,MIN(Instellingen!$B$17,L88+IF(M88="",0,M88))))</f>
        <v>623</v>
      </c>
      <c r="O88" t="str">
        <f>IF(N88="","",IF(N88&gt;=Instellingen!$B$22,"Absolute top",IF(N88&gt;=Instellingen!$B$23,"Kopman",IF(N88&gt;=Instellingen!$B$24,"Sterke keuze",IF(N88&gt;=Instellingen!$B$25,"Bruikbaar","Gok")))))</f>
        <v>Gok</v>
      </c>
      <c r="P88" t="str">
        <f>IF(A88="","",IF(D88="","Rol invullen","Compleet"))</f>
        <v>Compleet</v>
      </c>
      <c r="Q88" t="s">
        <v>133</v>
      </c>
    </row>
    <row r="89" spans="1:17">
      <c r="A89" t="s">
        <v>374</v>
      </c>
      <c r="B89" t="s">
        <v>29</v>
      </c>
      <c r="C89" t="s">
        <v>25</v>
      </c>
      <c r="D89" t="s">
        <v>26</v>
      </c>
      <c r="E89">
        <v>332</v>
      </c>
      <c r="F89">
        <v>90</v>
      </c>
      <c r="G89">
        <v>256</v>
      </c>
      <c r="H89">
        <v>23</v>
      </c>
      <c r="I89">
        <f>IF(D89="","",IFERROR(VLOOKUP(D89,Instellingen!$D$5:$E$13,2,FALSE),""))</f>
        <v>30</v>
      </c>
      <c r="J89">
        <f>IF(C89="","",IF(C89="Ja",100,0))</f>
        <v>100</v>
      </c>
      <c r="K89">
        <f>IF(D89="","",SUM(I89*Instellingen!$B$5,J89*Instellingen!$B$6,IFERROR(E89/MAX($E$6:$E$189)*100,0)*Instellingen!$B$7,IFERROR(F89/MAX($F$6:$F$189)*100,0)*Instellingen!$B$8,IFERROR(G89/MAX($G$6:$G$189)*100,0)*Instellingen!$B$9,IFERROR(H89/MAX($H$6:$H$189)*100,0)*Instellingen!$B$10)/SUM(Instellingen!$B$5:$B$10))</f>
        <v>16.380715539285188</v>
      </c>
      <c r="L89">
        <f>IF(K89="","",ROUND((Instellingen!$B$16+(Instellingen!$B$17-Instellingen!$B$16)*POWER(K89/100,Instellingen!$B$18))/Instellingen!$B$19,0)*Instellingen!$B$19)</f>
        <v>622</v>
      </c>
      <c r="N89">
        <f>IF(L89="","",MAX(Instellingen!$B$16,MIN(Instellingen!$B$17,L89+IF(M89="",0,M89))))</f>
        <v>622</v>
      </c>
      <c r="O89" t="str">
        <f>IF(N89="","",IF(N89&gt;=Instellingen!$B$22,"Absolute top",IF(N89&gt;=Instellingen!$B$23,"Kopman",IF(N89&gt;=Instellingen!$B$24,"Sterke keuze",IF(N89&gt;=Instellingen!$B$25,"Bruikbaar","Gok")))))</f>
        <v>Gok</v>
      </c>
      <c r="P89" t="str">
        <f>IF(A89="","",IF(D89="","Rol invullen","Compleet"))</f>
        <v>Compleet</v>
      </c>
      <c r="Q89" t="s">
        <v>375</v>
      </c>
    </row>
    <row r="90" spans="1:17">
      <c r="A90" t="s">
        <v>304</v>
      </c>
      <c r="B90" t="s">
        <v>45</v>
      </c>
      <c r="C90" t="s">
        <v>25</v>
      </c>
      <c r="D90" t="s">
        <v>26</v>
      </c>
      <c r="E90">
        <v>310</v>
      </c>
      <c r="F90">
        <v>47</v>
      </c>
      <c r="G90">
        <v>245</v>
      </c>
      <c r="H90">
        <v>58</v>
      </c>
      <c r="I90">
        <f>IF(D90="","",IFERROR(VLOOKUP(D90,Instellingen!$D$5:$E$13,2,FALSE),""))</f>
        <v>30</v>
      </c>
      <c r="J90">
        <f>IF(C90="","",IF(C90="Ja",100,0))</f>
        <v>100</v>
      </c>
      <c r="K90">
        <f>IF(D90="","",SUM(I90*Instellingen!$B$5,J90*Instellingen!$B$6,IFERROR(E90/MAX($E$6:$E$189)*100,0)*Instellingen!$B$7,IFERROR(F90/MAX($F$6:$F$189)*100,0)*Instellingen!$B$8,IFERROR(G90/MAX($G$6:$G$189)*100,0)*Instellingen!$B$9,IFERROR(H90/MAX($H$6:$H$189)*100,0)*Instellingen!$B$10)/SUM(Instellingen!$B$5:$B$10))</f>
        <v>16.227855973119897</v>
      </c>
      <c r="L90">
        <f>IF(K90="","",ROUND((Instellingen!$B$16+(Instellingen!$B$17-Instellingen!$B$16)*POWER(K90/100,Instellingen!$B$18))/Instellingen!$B$19,0)*Instellingen!$B$19)</f>
        <v>618</v>
      </c>
      <c r="N90">
        <f>IF(L90="","",MAX(Instellingen!$B$16,MIN(Instellingen!$B$17,L90+IF(M90="",0,M90))))</f>
        <v>618</v>
      </c>
      <c r="O90" t="str">
        <f>IF(N90="","",IF(N90&gt;=Instellingen!$B$22,"Absolute top",IF(N90&gt;=Instellingen!$B$23,"Kopman",IF(N90&gt;=Instellingen!$B$24,"Sterke keuze",IF(N90&gt;=Instellingen!$B$25,"Bruikbaar","Gok")))))</f>
        <v>Gok</v>
      </c>
      <c r="P90" t="str">
        <f>IF(A90="","",IF(D90="","Rol invullen","Compleet"))</f>
        <v>Compleet</v>
      </c>
      <c r="Q90" t="s">
        <v>305</v>
      </c>
    </row>
    <row r="91" spans="1:17">
      <c r="A91" t="s">
        <v>72</v>
      </c>
      <c r="B91" t="s">
        <v>73</v>
      </c>
      <c r="C91" t="s">
        <v>25</v>
      </c>
      <c r="D91" t="s">
        <v>26</v>
      </c>
      <c r="E91">
        <v>210</v>
      </c>
      <c r="F91">
        <v>194</v>
      </c>
      <c r="G91">
        <v>367</v>
      </c>
      <c r="H91">
        <v>40</v>
      </c>
      <c r="I91">
        <f>IF(D91="","",IFERROR(VLOOKUP(D91,Instellingen!$D$5:$E$13,2,FALSE),""))</f>
        <v>30</v>
      </c>
      <c r="J91">
        <f>IF(C91="","",IF(C91="Ja",100,0))</f>
        <v>100</v>
      </c>
      <c r="K91">
        <f>IF(D91="","",SUM(I91*Instellingen!$B$5,J91*Instellingen!$B$6,IFERROR(E91/MAX($E$6:$E$189)*100,0)*Instellingen!$B$7,IFERROR(F91/MAX($F$6:$F$189)*100,0)*Instellingen!$B$8,IFERROR(G91/MAX($G$6:$G$189)*100,0)*Instellingen!$B$9,IFERROR(H91/MAX($H$6:$H$189)*100,0)*Instellingen!$B$10)/SUM(Instellingen!$B$5:$B$10))</f>
        <v>16.233367029385807</v>
      </c>
      <c r="L91">
        <f>IF(K91="","",ROUND((Instellingen!$B$16+(Instellingen!$B$17-Instellingen!$B$16)*POWER(K91/100,Instellingen!$B$18))/Instellingen!$B$19,0)*Instellingen!$B$19)</f>
        <v>618</v>
      </c>
      <c r="N91">
        <f>IF(L91="","",MAX(Instellingen!$B$16,MIN(Instellingen!$B$17,L91+IF(M91="",0,M91))))</f>
        <v>618</v>
      </c>
      <c r="O91" t="str">
        <f>IF(N91="","",IF(N91&gt;=Instellingen!$B$22,"Absolute top",IF(N91&gt;=Instellingen!$B$23,"Kopman",IF(N91&gt;=Instellingen!$B$24,"Sterke keuze",IF(N91&gt;=Instellingen!$B$25,"Bruikbaar","Gok")))))</f>
        <v>Gok</v>
      </c>
      <c r="P91" t="str">
        <f>IF(A91="","",IF(D91="","Rol invullen","Compleet"))</f>
        <v>Compleet</v>
      </c>
      <c r="Q91" t="s">
        <v>74</v>
      </c>
    </row>
    <row r="92" spans="1:17">
      <c r="A92" t="s">
        <v>114</v>
      </c>
      <c r="B92" t="s">
        <v>110</v>
      </c>
      <c r="C92" t="s">
        <v>25</v>
      </c>
      <c r="D92" t="s">
        <v>26</v>
      </c>
      <c r="E92">
        <v>340</v>
      </c>
      <c r="F92">
        <v>9</v>
      </c>
      <c r="G92">
        <v>238</v>
      </c>
      <c r="H92">
        <v>12</v>
      </c>
      <c r="I92">
        <f>IF(D92="","",IFERROR(VLOOKUP(D92,Instellingen!$D$5:$E$13,2,FALSE),""))</f>
        <v>30</v>
      </c>
      <c r="J92">
        <f>IF(C92="","",IF(C92="Ja",100,0))</f>
        <v>100</v>
      </c>
      <c r="K92">
        <f>IF(D92="","",SUM(I92*Instellingen!$B$5,J92*Instellingen!$B$6,IFERROR(E92/MAX($E$6:$E$189)*100,0)*Instellingen!$B$7,IFERROR(F92/MAX($F$6:$F$189)*100,0)*Instellingen!$B$8,IFERROR(G92/MAX($G$6:$G$189)*100,0)*Instellingen!$B$9,IFERROR(H92/MAX($H$6:$H$189)*100,0)*Instellingen!$B$10)/SUM(Instellingen!$B$5:$B$10))</f>
        <v>16.237362307656394</v>
      </c>
      <c r="L92">
        <f>IF(K92="","",ROUND((Instellingen!$B$16+(Instellingen!$B$17-Instellingen!$B$16)*POWER(K92/100,Instellingen!$B$18))/Instellingen!$B$19,0)*Instellingen!$B$19)</f>
        <v>618</v>
      </c>
      <c r="N92">
        <f>IF(L92="","",MAX(Instellingen!$B$16,MIN(Instellingen!$B$17,L92+IF(M92="",0,M92))))</f>
        <v>618</v>
      </c>
      <c r="O92" t="str">
        <f>IF(N92="","",IF(N92&gt;=Instellingen!$B$22,"Absolute top",IF(N92&gt;=Instellingen!$B$23,"Kopman",IF(N92&gt;=Instellingen!$B$24,"Sterke keuze",IF(N92&gt;=Instellingen!$B$25,"Bruikbaar","Gok")))))</f>
        <v>Gok</v>
      </c>
      <c r="P92" t="str">
        <f>IF(A92="","",IF(D92="","Rol invullen","Compleet"))</f>
        <v>Compleet</v>
      </c>
      <c r="Q92" t="s">
        <v>115</v>
      </c>
    </row>
    <row r="93" spans="1:17">
      <c r="A93" t="s">
        <v>227</v>
      </c>
      <c r="B93" t="s">
        <v>223</v>
      </c>
      <c r="C93" t="s">
        <v>21</v>
      </c>
      <c r="D93" t="s">
        <v>82</v>
      </c>
      <c r="E93">
        <v>267</v>
      </c>
      <c r="F93">
        <v>1698</v>
      </c>
      <c r="G93">
        <v>32</v>
      </c>
      <c r="H93">
        <v>40</v>
      </c>
      <c r="I93">
        <f>IF(D93="","",IFERROR(VLOOKUP(D93,Instellingen!$D$5:$E$13,2,FALSE),""))</f>
        <v>80</v>
      </c>
      <c r="J93">
        <f>IF(C93="","",IF(C93="Ja",100,0))</f>
        <v>0</v>
      </c>
      <c r="K93">
        <f>IF(D93="","",SUM(I93*Instellingen!$B$5,J93*Instellingen!$B$6,IFERROR(E93/MAX($E$6:$E$189)*100,0)*Instellingen!$B$7,IFERROR(F93/MAX($F$6:$F$189)*100,0)*Instellingen!$B$8,IFERROR(G93/MAX($G$6:$G$189)*100,0)*Instellingen!$B$9,IFERROR(H93/MAX($H$6:$H$189)*100,0)*Instellingen!$B$10)/SUM(Instellingen!$B$5:$B$10))</f>
        <v>16.148951829926489</v>
      </c>
      <c r="L93">
        <f>IF(K93="","",ROUND((Instellingen!$B$16+(Instellingen!$B$17-Instellingen!$B$16)*POWER(K93/100,Instellingen!$B$18))/Instellingen!$B$19,0)*Instellingen!$B$19)</f>
        <v>616</v>
      </c>
      <c r="N93">
        <f>IF(L93="","",MAX(Instellingen!$B$16,MIN(Instellingen!$B$17,L93+IF(M93="",0,M93))))</f>
        <v>616</v>
      </c>
      <c r="O93" t="str">
        <f>IF(N93="","",IF(N93&gt;=Instellingen!$B$22,"Absolute top",IF(N93&gt;=Instellingen!$B$23,"Kopman",IF(N93&gt;=Instellingen!$B$24,"Sterke keuze",IF(N93&gt;=Instellingen!$B$25,"Bruikbaar","Gok")))))</f>
        <v>Gok</v>
      </c>
      <c r="P93" t="str">
        <f>IF(A93="","",IF(D93="","Rol invullen","Compleet"))</f>
        <v>Compleet</v>
      </c>
      <c r="Q93" t="s">
        <v>228</v>
      </c>
    </row>
    <row r="94" spans="1:17">
      <c r="A94" t="s">
        <v>244</v>
      </c>
      <c r="B94" t="s">
        <v>240</v>
      </c>
      <c r="C94" t="s">
        <v>25</v>
      </c>
      <c r="D94" t="s">
        <v>26</v>
      </c>
      <c r="E94">
        <v>212</v>
      </c>
      <c r="F94">
        <v>176</v>
      </c>
      <c r="G94">
        <v>210</v>
      </c>
      <c r="H94">
        <v>2</v>
      </c>
      <c r="I94">
        <f>IF(D94="","",IFERROR(VLOOKUP(D94,Instellingen!$D$5:$E$13,2,FALSE),""))</f>
        <v>30</v>
      </c>
      <c r="J94">
        <f>IF(C94="","",IF(C94="Ja",100,0))</f>
        <v>100</v>
      </c>
      <c r="K94">
        <f>IF(D94="","",SUM(I94*Instellingen!$B$5,J94*Instellingen!$B$6,IFERROR(E94/MAX($E$6:$E$189)*100,0)*Instellingen!$B$7,IFERROR(F94/MAX($F$6:$F$189)*100,0)*Instellingen!$B$8,IFERROR(G94/MAX($G$6:$G$189)*100,0)*Instellingen!$B$9,IFERROR(H94/MAX($H$6:$H$189)*100,0)*Instellingen!$B$10)/SUM(Instellingen!$B$5:$B$10))</f>
        <v>15.963590491605498</v>
      </c>
      <c r="L94">
        <f>IF(K94="","",ROUND((Instellingen!$B$16+(Instellingen!$B$17-Instellingen!$B$16)*POWER(K94/100,Instellingen!$B$18))/Instellingen!$B$19,0)*Instellingen!$B$19)</f>
        <v>611</v>
      </c>
      <c r="N94">
        <f>IF(L94="","",MAX(Instellingen!$B$16,MIN(Instellingen!$B$17,L94+IF(M94="",0,M94))))</f>
        <v>611</v>
      </c>
      <c r="O94" t="str">
        <f>IF(N94="","",IF(N94&gt;=Instellingen!$B$22,"Absolute top",IF(N94&gt;=Instellingen!$B$23,"Kopman",IF(N94&gt;=Instellingen!$B$24,"Sterke keuze",IF(N94&gt;=Instellingen!$B$25,"Bruikbaar","Gok")))))</f>
        <v>Gok</v>
      </c>
      <c r="P94" t="str">
        <f>IF(A94="","",IF(D94="","Rol invullen","Compleet"))</f>
        <v>Compleet</v>
      </c>
      <c r="Q94" t="s">
        <v>245</v>
      </c>
    </row>
    <row r="95" spans="1:17">
      <c r="A95" t="s">
        <v>196</v>
      </c>
      <c r="B95" t="s">
        <v>192</v>
      </c>
      <c r="C95" t="s">
        <v>21</v>
      </c>
      <c r="D95" t="s">
        <v>30</v>
      </c>
      <c r="E95">
        <v>1281</v>
      </c>
      <c r="F95">
        <v>390</v>
      </c>
      <c r="G95">
        <v>928</v>
      </c>
      <c r="H95">
        <v>705</v>
      </c>
      <c r="I95">
        <f>IF(D95="","",IFERROR(VLOOKUP(D95,Instellingen!$D$5:$E$13,2,FALSE),""))</f>
        <v>55</v>
      </c>
      <c r="J95">
        <f>IF(C95="","",IF(C95="Ja",100,0))</f>
        <v>0</v>
      </c>
      <c r="K95">
        <f>IF(D95="","",SUM(I95*Instellingen!$B$5,J95*Instellingen!$B$6,IFERROR(E95/MAX($E$6:$E$189)*100,0)*Instellingen!$B$7,IFERROR(F95/MAX($F$6:$F$189)*100,0)*Instellingen!$B$8,IFERROR(G95/MAX($G$6:$G$189)*100,0)*Instellingen!$B$9,IFERROR(H95/MAX($H$6:$H$189)*100,0)*Instellingen!$B$10)/SUM(Instellingen!$B$5:$B$10))</f>
        <v>15.983439812861533</v>
      </c>
      <c r="L95">
        <f>IF(K95="","",ROUND((Instellingen!$B$16+(Instellingen!$B$17-Instellingen!$B$16)*POWER(K95/100,Instellingen!$B$18))/Instellingen!$B$19,0)*Instellingen!$B$19)</f>
        <v>611</v>
      </c>
      <c r="N95">
        <f>IF(L95="","",MAX(Instellingen!$B$16,MIN(Instellingen!$B$17,L95+IF(M95="",0,M95))))</f>
        <v>611</v>
      </c>
      <c r="O95" t="str">
        <f>IF(N95="","",IF(N95&gt;=Instellingen!$B$22,"Absolute top",IF(N95&gt;=Instellingen!$B$23,"Kopman",IF(N95&gt;=Instellingen!$B$24,"Sterke keuze",IF(N95&gt;=Instellingen!$B$25,"Bruikbaar","Gok")))))</f>
        <v>Gok</v>
      </c>
      <c r="P95" t="str">
        <f>IF(A95="","",IF(D95="","Rol invullen","Compleet"))</f>
        <v>Compleet</v>
      </c>
      <c r="Q95" t="s">
        <v>197</v>
      </c>
    </row>
    <row r="96" spans="1:17">
      <c r="A96" t="s">
        <v>278</v>
      </c>
      <c r="B96" t="s">
        <v>264</v>
      </c>
      <c r="C96" t="s">
        <v>25</v>
      </c>
      <c r="D96" t="s">
        <v>26</v>
      </c>
      <c r="E96">
        <v>219</v>
      </c>
      <c r="F96">
        <v>139</v>
      </c>
      <c r="G96">
        <v>169</v>
      </c>
      <c r="H96">
        <v>27</v>
      </c>
      <c r="I96">
        <f>IF(D96="","",IFERROR(VLOOKUP(D96,Instellingen!$D$5:$E$13,2,FALSE),""))</f>
        <v>30</v>
      </c>
      <c r="J96">
        <f>IF(C96="","",IF(C96="Ja",100,0))</f>
        <v>100</v>
      </c>
      <c r="K96">
        <f>IF(D96="","",SUM(I96*Instellingen!$B$5,J96*Instellingen!$B$6,IFERROR(E96/MAX($E$6:$E$189)*100,0)*Instellingen!$B$7,IFERROR(F96/MAX($F$6:$F$189)*100,0)*Instellingen!$B$8,IFERROR(G96/MAX($G$6:$G$189)*100,0)*Instellingen!$B$9,IFERROR(H96/MAX($H$6:$H$189)*100,0)*Instellingen!$B$10)/SUM(Instellingen!$B$5:$B$10))</f>
        <v>15.890127878365723</v>
      </c>
      <c r="L96">
        <f>IF(K96="","",ROUND((Instellingen!$B$16+(Instellingen!$B$17-Instellingen!$B$16)*POWER(K96/100,Instellingen!$B$18))/Instellingen!$B$19,0)*Instellingen!$B$19)</f>
        <v>609</v>
      </c>
      <c r="N96">
        <f>IF(L96="","",MAX(Instellingen!$B$16,MIN(Instellingen!$B$17,L96+IF(M96="",0,M96))))</f>
        <v>609</v>
      </c>
      <c r="O96" t="str">
        <f>IF(N96="","",IF(N96&gt;=Instellingen!$B$22,"Absolute top",IF(N96&gt;=Instellingen!$B$23,"Kopman",IF(N96&gt;=Instellingen!$B$24,"Sterke keuze",IF(N96&gt;=Instellingen!$B$25,"Bruikbaar","Gok")))))</f>
        <v>Gok</v>
      </c>
      <c r="P96" t="str">
        <f>IF(A96="","",IF(D96="","Rol invullen","Compleet"))</f>
        <v>Compleet</v>
      </c>
      <c r="Q96" t="s">
        <v>279</v>
      </c>
    </row>
    <row r="97" spans="1:17">
      <c r="A97" t="s">
        <v>89</v>
      </c>
      <c r="B97" t="s">
        <v>73</v>
      </c>
      <c r="C97" t="s">
        <v>25</v>
      </c>
      <c r="D97" t="s">
        <v>26</v>
      </c>
      <c r="E97">
        <v>244</v>
      </c>
      <c r="F97">
        <v>87</v>
      </c>
      <c r="G97">
        <v>154</v>
      </c>
      <c r="H97">
        <v>25</v>
      </c>
      <c r="I97">
        <f>IF(D97="","",IFERROR(VLOOKUP(D97,Instellingen!$D$5:$E$13,2,FALSE),""))</f>
        <v>30</v>
      </c>
      <c r="J97">
        <f>IF(C97="","",IF(C97="Ja",100,0))</f>
        <v>100</v>
      </c>
      <c r="K97">
        <f>IF(D97="","",SUM(I97*Instellingen!$B$5,J97*Instellingen!$B$6,IFERROR(E97/MAX($E$6:$E$189)*100,0)*Instellingen!$B$7,IFERROR(F97/MAX($F$6:$F$189)*100,0)*Instellingen!$B$8,IFERROR(G97/MAX($G$6:$G$189)*100,0)*Instellingen!$B$9,IFERROR(H97/MAX($H$6:$H$189)*100,0)*Instellingen!$B$10)/SUM(Instellingen!$B$5:$B$10))</f>
        <v>15.878187806535509</v>
      </c>
      <c r="L97">
        <f>IF(K97="","",ROUND((Instellingen!$B$16+(Instellingen!$B$17-Instellingen!$B$16)*POWER(K97/100,Instellingen!$B$18))/Instellingen!$B$19,0)*Instellingen!$B$19)</f>
        <v>609</v>
      </c>
      <c r="N97">
        <f>IF(L97="","",MAX(Instellingen!$B$16,MIN(Instellingen!$B$17,L97+IF(M97="",0,M97))))</f>
        <v>609</v>
      </c>
      <c r="O97" t="str">
        <f>IF(N97="","",IF(N97&gt;=Instellingen!$B$22,"Absolute top",IF(N97&gt;=Instellingen!$B$23,"Kopman",IF(N97&gt;=Instellingen!$B$24,"Sterke keuze",IF(N97&gt;=Instellingen!$B$25,"Bruikbaar","Gok")))))</f>
        <v>Gok</v>
      </c>
      <c r="P97" t="str">
        <f>IF(A97="","",IF(D97="","Rol invullen","Compleet"))</f>
        <v>Compleet</v>
      </c>
      <c r="Q97" t="s">
        <v>90</v>
      </c>
    </row>
    <row r="98" spans="1:17">
      <c r="A98" t="s">
        <v>280</v>
      </c>
      <c r="B98" t="s">
        <v>20</v>
      </c>
      <c r="C98" t="s">
        <v>25</v>
      </c>
      <c r="D98" t="s">
        <v>26</v>
      </c>
      <c r="E98">
        <v>102</v>
      </c>
      <c r="F98">
        <v>216</v>
      </c>
      <c r="G98">
        <v>374</v>
      </c>
      <c r="H98">
        <v>17</v>
      </c>
      <c r="I98">
        <f>IF(D98="","",IFERROR(VLOOKUP(D98,Instellingen!$D$5:$E$13,2,FALSE),""))</f>
        <v>30</v>
      </c>
      <c r="J98">
        <f>IF(C98="","",IF(C98="Ja",100,0))</f>
        <v>100</v>
      </c>
      <c r="K98">
        <f>IF(D98="","",SUM(I98*Instellingen!$B$5,J98*Instellingen!$B$6,IFERROR(E98/MAX($E$6:$E$189)*100,0)*Instellingen!$B$7,IFERROR(F98/MAX($F$6:$F$189)*100,0)*Instellingen!$B$8,IFERROR(G98/MAX($G$6:$G$189)*100,0)*Instellingen!$B$9,IFERROR(H98/MAX($H$6:$H$189)*100,0)*Instellingen!$B$10)/SUM(Instellingen!$B$5:$B$10))</f>
        <v>15.824009072930412</v>
      </c>
      <c r="L98">
        <f>IF(K98="","",ROUND((Instellingen!$B$16+(Instellingen!$B$17-Instellingen!$B$16)*POWER(K98/100,Instellingen!$B$18))/Instellingen!$B$19,0)*Instellingen!$B$19)</f>
        <v>607</v>
      </c>
      <c r="N98">
        <f>IF(L98="","",MAX(Instellingen!$B$16,MIN(Instellingen!$B$17,L98+IF(M98="",0,M98))))</f>
        <v>607</v>
      </c>
      <c r="O98" t="str">
        <f>IF(N98="","",IF(N98&gt;=Instellingen!$B$22,"Absolute top",IF(N98&gt;=Instellingen!$B$23,"Kopman",IF(N98&gt;=Instellingen!$B$24,"Sterke keuze",IF(N98&gt;=Instellingen!$B$25,"Bruikbaar","Gok")))))</f>
        <v>Gok</v>
      </c>
      <c r="P98" t="str">
        <f>IF(A98="","",IF(D98="","Rol invullen","Compleet"))</f>
        <v>Compleet</v>
      </c>
      <c r="Q98" t="s">
        <v>281</v>
      </c>
    </row>
    <row r="99" spans="1:17">
      <c r="A99" t="s">
        <v>24</v>
      </c>
      <c r="B99" t="s">
        <v>20</v>
      </c>
      <c r="C99" t="s">
        <v>25</v>
      </c>
      <c r="D99" t="s">
        <v>26</v>
      </c>
      <c r="E99">
        <v>176</v>
      </c>
      <c r="F99">
        <v>199</v>
      </c>
      <c r="G99">
        <v>130</v>
      </c>
      <c r="H99">
        <v>62</v>
      </c>
      <c r="I99">
        <f>IF(D99="","",IFERROR(VLOOKUP(D99,Instellingen!$D$5:$E$13,2,FALSE),""))</f>
        <v>30</v>
      </c>
      <c r="J99">
        <f>IF(C99="","",IF(C99="Ja",100,0))</f>
        <v>100</v>
      </c>
      <c r="K99">
        <f>IF(D99="","",SUM(I99*Instellingen!$B$5,J99*Instellingen!$B$6,IFERROR(E99/MAX($E$6:$E$189)*100,0)*Instellingen!$B$7,IFERROR(F99/MAX($F$6:$F$189)*100,0)*Instellingen!$B$8,IFERROR(G99/MAX($G$6:$G$189)*100,0)*Instellingen!$B$9,IFERROR(H99/MAX($H$6:$H$189)*100,0)*Instellingen!$B$10)/SUM(Instellingen!$B$5:$B$10))</f>
        <v>15.794350075968744</v>
      </c>
      <c r="L99">
        <f>IF(K99="","",ROUND((Instellingen!$B$16+(Instellingen!$B$17-Instellingen!$B$16)*POWER(K99/100,Instellingen!$B$18))/Instellingen!$B$19,0)*Instellingen!$B$19)</f>
        <v>606</v>
      </c>
      <c r="N99">
        <f>IF(L99="","",MAX(Instellingen!$B$16,MIN(Instellingen!$B$17,L99+IF(M99="",0,M99))))</f>
        <v>606</v>
      </c>
      <c r="O99" t="str">
        <f>IF(N99="","",IF(N99&gt;=Instellingen!$B$22,"Absolute top",IF(N99&gt;=Instellingen!$B$23,"Kopman",IF(N99&gt;=Instellingen!$B$24,"Sterke keuze",IF(N99&gt;=Instellingen!$B$25,"Bruikbaar","Gok")))))</f>
        <v>Gok</v>
      </c>
      <c r="P99" t="str">
        <f>IF(A99="","",IF(D99="","Rol invullen","Compleet"))</f>
        <v>Compleet</v>
      </c>
      <c r="Q99" t="s">
        <v>27</v>
      </c>
    </row>
    <row r="100" spans="1:17">
      <c r="A100" t="s">
        <v>308</v>
      </c>
      <c r="B100" t="s">
        <v>45</v>
      </c>
      <c r="C100" t="s">
        <v>25</v>
      </c>
      <c r="D100" t="s">
        <v>26</v>
      </c>
      <c r="E100">
        <v>177</v>
      </c>
      <c r="F100">
        <v>134</v>
      </c>
      <c r="G100">
        <v>117</v>
      </c>
      <c r="H100">
        <v>181</v>
      </c>
      <c r="I100">
        <f>IF(D100="","",IFERROR(VLOOKUP(D100,Instellingen!$D$5:$E$13,2,FALSE),""))</f>
        <v>30</v>
      </c>
      <c r="J100">
        <f>IF(C100="","",IF(C100="Ja",100,0))</f>
        <v>100</v>
      </c>
      <c r="K100">
        <f>IF(D100="","",SUM(I100*Instellingen!$B$5,J100*Instellingen!$B$6,IFERROR(E100/MAX($E$6:$E$189)*100,0)*Instellingen!$B$7,IFERROR(F100/MAX($F$6:$F$189)*100,0)*Instellingen!$B$8,IFERROR(G100/MAX($G$6:$G$189)*100,0)*Instellingen!$B$9,IFERROR(H100/MAX($H$6:$H$189)*100,0)*Instellingen!$B$10)/SUM(Instellingen!$B$5:$B$10))</f>
        <v>15.759640657513467</v>
      </c>
      <c r="L100">
        <f>IF(K100="","",ROUND((Instellingen!$B$16+(Instellingen!$B$17-Instellingen!$B$16)*POWER(K100/100,Instellingen!$B$18))/Instellingen!$B$19,0)*Instellingen!$B$19)</f>
        <v>605</v>
      </c>
      <c r="N100">
        <f>IF(L100="","",MAX(Instellingen!$B$16,MIN(Instellingen!$B$17,L100+IF(M100="",0,M100))))</f>
        <v>605</v>
      </c>
      <c r="O100" t="str">
        <f>IF(N100="","",IF(N100&gt;=Instellingen!$B$22,"Absolute top",IF(N100&gt;=Instellingen!$B$23,"Kopman",IF(N100&gt;=Instellingen!$B$24,"Sterke keuze",IF(N100&gt;=Instellingen!$B$25,"Bruikbaar","Gok")))))</f>
        <v>Gok</v>
      </c>
      <c r="P100" t="str">
        <f>IF(A100="","",IF(D100="","Rol invullen","Compleet"))</f>
        <v>Compleet</v>
      </c>
      <c r="Q100" t="s">
        <v>309</v>
      </c>
    </row>
    <row r="101" spans="1:17">
      <c r="A101" t="s">
        <v>130</v>
      </c>
      <c r="B101" t="s">
        <v>128</v>
      </c>
      <c r="C101" t="s">
        <v>25</v>
      </c>
      <c r="D101" t="s">
        <v>26</v>
      </c>
      <c r="E101">
        <v>200</v>
      </c>
      <c r="F101">
        <v>12</v>
      </c>
      <c r="G101">
        <v>274</v>
      </c>
      <c r="H101">
        <v>58</v>
      </c>
      <c r="I101">
        <f>IF(D101="","",IFERROR(VLOOKUP(D101,Instellingen!$D$5:$E$13,2,FALSE),""))</f>
        <v>30</v>
      </c>
      <c r="J101">
        <f>IF(C101="","",IF(C101="Ja",100,0))</f>
        <v>100</v>
      </c>
      <c r="K101">
        <f>IF(D101="","",SUM(I101*Instellingen!$B$5,J101*Instellingen!$B$6,IFERROR(E101/MAX($E$6:$E$189)*100,0)*Instellingen!$B$7,IFERROR(F101/MAX($F$6:$F$189)*100,0)*Instellingen!$B$8,IFERROR(G101/MAX($G$6:$G$189)*100,0)*Instellingen!$B$9,IFERROR(H101/MAX($H$6:$H$189)*100,0)*Instellingen!$B$10)/SUM(Instellingen!$B$5:$B$10))</f>
        <v>15.758491580354431</v>
      </c>
      <c r="L101">
        <f>IF(K101="","",ROUND((Instellingen!$B$16+(Instellingen!$B$17-Instellingen!$B$16)*POWER(K101/100,Instellingen!$B$18))/Instellingen!$B$19,0)*Instellingen!$B$19)</f>
        <v>605</v>
      </c>
      <c r="N101">
        <f>IF(L101="","",MAX(Instellingen!$B$16,MIN(Instellingen!$B$17,L101+IF(M101="",0,M101))))</f>
        <v>605</v>
      </c>
      <c r="O101" t="str">
        <f>IF(N101="","",IF(N101&gt;=Instellingen!$B$22,"Absolute top",IF(N101&gt;=Instellingen!$B$23,"Kopman",IF(N101&gt;=Instellingen!$B$24,"Sterke keuze",IF(N101&gt;=Instellingen!$B$25,"Bruikbaar","Gok")))))</f>
        <v>Gok</v>
      </c>
      <c r="P101" t="str">
        <f>IF(A101="","",IF(D101="","Rol invullen","Compleet"))</f>
        <v>Compleet</v>
      </c>
      <c r="Q101" t="s">
        <v>131</v>
      </c>
    </row>
    <row r="102" spans="1:17">
      <c r="A102" t="s">
        <v>203</v>
      </c>
      <c r="B102" t="s">
        <v>201</v>
      </c>
      <c r="C102" t="s">
        <v>21</v>
      </c>
      <c r="D102" t="s">
        <v>30</v>
      </c>
      <c r="E102">
        <v>1245</v>
      </c>
      <c r="F102">
        <v>158</v>
      </c>
      <c r="G102">
        <v>1330</v>
      </c>
      <c r="H102">
        <v>366</v>
      </c>
      <c r="I102">
        <f>IF(D102="","",IFERROR(VLOOKUP(D102,Instellingen!$D$5:$E$13,2,FALSE),""))</f>
        <v>55</v>
      </c>
      <c r="J102">
        <f>IF(C102="","",IF(C102="Ja",100,0))</f>
        <v>0</v>
      </c>
      <c r="K102">
        <f>IF(D102="","",SUM(I102*Instellingen!$B$5,J102*Instellingen!$B$6,IFERROR(E102/MAX($E$6:$E$189)*100,0)*Instellingen!$B$7,IFERROR(F102/MAX($F$6:$F$189)*100,0)*Instellingen!$B$8,IFERROR(G102/MAX($G$6:$G$189)*100,0)*Instellingen!$B$9,IFERROR(H102/MAX($H$6:$H$189)*100,0)*Instellingen!$B$10)/SUM(Instellingen!$B$5:$B$10))</f>
        <v>15.716706357401002</v>
      </c>
      <c r="L102">
        <f>IF(K102="","",ROUND((Instellingen!$B$16+(Instellingen!$B$17-Instellingen!$B$16)*POWER(K102/100,Instellingen!$B$18))/Instellingen!$B$19,0)*Instellingen!$B$19)</f>
        <v>604</v>
      </c>
      <c r="N102">
        <f>IF(L102="","",MAX(Instellingen!$B$16,MIN(Instellingen!$B$17,L102+IF(M102="",0,M102))))</f>
        <v>604</v>
      </c>
      <c r="O102" t="str">
        <f>IF(N102="","",IF(N102&gt;=Instellingen!$B$22,"Absolute top",IF(N102&gt;=Instellingen!$B$23,"Kopman",IF(N102&gt;=Instellingen!$B$24,"Sterke keuze",IF(N102&gt;=Instellingen!$B$25,"Bruikbaar","Gok")))))</f>
        <v>Gok</v>
      </c>
      <c r="P102" t="str">
        <f>IF(A102="","",IF(D102="","Rol invullen","Compleet"))</f>
        <v>Compleet</v>
      </c>
      <c r="Q102" t="s">
        <v>204</v>
      </c>
    </row>
    <row r="103" spans="1:17">
      <c r="A103" t="s">
        <v>213</v>
      </c>
      <c r="B103" t="s">
        <v>201</v>
      </c>
      <c r="C103" t="s">
        <v>21</v>
      </c>
      <c r="D103" t="s">
        <v>82</v>
      </c>
      <c r="E103">
        <v>213</v>
      </c>
      <c r="F103">
        <v>1326</v>
      </c>
      <c r="G103">
        <v>38</v>
      </c>
      <c r="H103">
        <v>565</v>
      </c>
      <c r="I103">
        <f>IF(D103="","",IFERROR(VLOOKUP(D103,Instellingen!$D$5:$E$13,2,FALSE),""))</f>
        <v>80</v>
      </c>
      <c r="J103">
        <f>IF(C103="","",IF(C103="Ja",100,0))</f>
        <v>0</v>
      </c>
      <c r="K103">
        <f>IF(D103="","",SUM(I103*Instellingen!$B$5,J103*Instellingen!$B$6,IFERROR(E103/MAX($E$6:$E$189)*100,0)*Instellingen!$B$7,IFERROR(F103/MAX($F$6:$F$189)*100,0)*Instellingen!$B$8,IFERROR(G103/MAX($G$6:$G$189)*100,0)*Instellingen!$B$9,IFERROR(H103/MAX($H$6:$H$189)*100,0)*Instellingen!$B$10)/SUM(Instellingen!$B$5:$B$10))</f>
        <v>15.695454632393858</v>
      </c>
      <c r="L103">
        <f>IF(K103="","",ROUND((Instellingen!$B$16+(Instellingen!$B$17-Instellingen!$B$16)*POWER(K103/100,Instellingen!$B$18))/Instellingen!$B$19,0)*Instellingen!$B$19)</f>
        <v>604</v>
      </c>
      <c r="N103">
        <f>IF(L103="","",MAX(Instellingen!$B$16,MIN(Instellingen!$B$17,L103+IF(M103="",0,M103))))</f>
        <v>604</v>
      </c>
      <c r="O103" t="str">
        <f>IF(N103="","",IF(N103&gt;=Instellingen!$B$22,"Absolute top",IF(N103&gt;=Instellingen!$B$23,"Kopman",IF(N103&gt;=Instellingen!$B$24,"Sterke keuze",IF(N103&gt;=Instellingen!$B$25,"Bruikbaar","Gok")))))</f>
        <v>Gok</v>
      </c>
      <c r="P103" t="str">
        <f>IF(A103="","",IF(D103="","Rol invullen","Compleet"))</f>
        <v>Compleet</v>
      </c>
      <c r="Q103" t="s">
        <v>214</v>
      </c>
    </row>
    <row r="104" spans="1:17">
      <c r="A104" t="s">
        <v>346</v>
      </c>
      <c r="B104" t="s">
        <v>162</v>
      </c>
      <c r="C104" t="s">
        <v>21</v>
      </c>
      <c r="D104" t="s">
        <v>35</v>
      </c>
      <c r="E104">
        <v>818</v>
      </c>
      <c r="F104">
        <v>132</v>
      </c>
      <c r="G104">
        <v>462</v>
      </c>
      <c r="H104">
        <v>2181</v>
      </c>
      <c r="I104">
        <f>IF(D104="","",IFERROR(VLOOKUP(D104,Instellingen!$D$5:$E$13,2,FALSE),""))</f>
        <v>65</v>
      </c>
      <c r="J104">
        <f>IF(C104="","",IF(C104="Ja",100,0))</f>
        <v>0</v>
      </c>
      <c r="K104">
        <f>IF(D104="","",SUM(I104*Instellingen!$B$5,J104*Instellingen!$B$6,IFERROR(E104/MAX($E$6:$E$189)*100,0)*Instellingen!$B$7,IFERROR(F104/MAX($F$6:$F$189)*100,0)*Instellingen!$B$8,IFERROR(G104/MAX($G$6:$G$189)*100,0)*Instellingen!$B$9,IFERROR(H104/MAX($H$6:$H$189)*100,0)*Instellingen!$B$10)/SUM(Instellingen!$B$5:$B$10))</f>
        <v>15.661851766284949</v>
      </c>
      <c r="L104">
        <f>IF(K104="","",ROUND((Instellingen!$B$16+(Instellingen!$B$17-Instellingen!$B$16)*POWER(K104/100,Instellingen!$B$18))/Instellingen!$B$19,0)*Instellingen!$B$19)</f>
        <v>603</v>
      </c>
      <c r="N104">
        <f>IF(L104="","",MAX(Instellingen!$B$16,MIN(Instellingen!$B$17,L104+IF(M104="",0,M104))))</f>
        <v>603</v>
      </c>
      <c r="O104" t="str">
        <f>IF(N104="","",IF(N104&gt;=Instellingen!$B$22,"Absolute top",IF(N104&gt;=Instellingen!$B$23,"Kopman",IF(N104&gt;=Instellingen!$B$24,"Sterke keuze",IF(N104&gt;=Instellingen!$B$25,"Bruikbaar","Gok")))))</f>
        <v>Gok</v>
      </c>
      <c r="P104" t="str">
        <f>IF(A104="","",IF(D104="","Rol invullen","Compleet"))</f>
        <v>Compleet</v>
      </c>
      <c r="Q104" t="s">
        <v>347</v>
      </c>
    </row>
    <row r="105" spans="1:17">
      <c r="A105" t="s">
        <v>356</v>
      </c>
      <c r="B105" t="s">
        <v>192</v>
      </c>
      <c r="C105" t="s">
        <v>25</v>
      </c>
      <c r="D105" t="s">
        <v>26</v>
      </c>
      <c r="E105">
        <v>189</v>
      </c>
      <c r="F105">
        <v>77</v>
      </c>
      <c r="G105">
        <v>178</v>
      </c>
      <c r="H105">
        <v>0</v>
      </c>
      <c r="I105">
        <f>IF(D105="","",IFERROR(VLOOKUP(D105,Instellingen!$D$5:$E$13,2,FALSE),""))</f>
        <v>30</v>
      </c>
      <c r="J105">
        <f>IF(C105="","",IF(C105="Ja",100,0))</f>
        <v>100</v>
      </c>
      <c r="K105">
        <f>IF(D105="","",SUM(I105*Instellingen!$B$5,J105*Instellingen!$B$6,IFERROR(E105/MAX($E$6:$E$189)*100,0)*Instellingen!$B$7,IFERROR(F105/MAX($F$6:$F$189)*100,0)*Instellingen!$B$8,IFERROR(G105/MAX($G$6:$G$189)*100,0)*Instellingen!$B$9,IFERROR(H105/MAX($H$6:$H$189)*100,0)*Instellingen!$B$10)/SUM(Instellingen!$B$5:$B$10))</f>
        <v>15.650156517456448</v>
      </c>
      <c r="L105">
        <f>IF(K105="","",ROUND((Instellingen!$B$16+(Instellingen!$B$17-Instellingen!$B$16)*POWER(K105/100,Instellingen!$B$18))/Instellingen!$B$19,0)*Instellingen!$B$19)</f>
        <v>603</v>
      </c>
      <c r="N105">
        <f>IF(L105="","",MAX(Instellingen!$B$16,MIN(Instellingen!$B$17,L105+IF(M105="",0,M105))))</f>
        <v>603</v>
      </c>
      <c r="O105" t="str">
        <f>IF(N105="","",IF(N105&gt;=Instellingen!$B$22,"Absolute top",IF(N105&gt;=Instellingen!$B$23,"Kopman",IF(N105&gt;=Instellingen!$B$24,"Sterke keuze",IF(N105&gt;=Instellingen!$B$25,"Bruikbaar","Gok")))))</f>
        <v>Gok</v>
      </c>
      <c r="P105" t="str">
        <f>IF(A105="","",IF(D105="","Rol invullen","Compleet"))</f>
        <v>Compleet</v>
      </c>
      <c r="Q105" t="s">
        <v>357</v>
      </c>
    </row>
    <row r="106" spans="1:17">
      <c r="A106" t="s">
        <v>215</v>
      </c>
      <c r="B106" t="s">
        <v>201</v>
      </c>
      <c r="C106" t="s">
        <v>25</v>
      </c>
      <c r="D106" t="s">
        <v>26</v>
      </c>
      <c r="E106">
        <v>134</v>
      </c>
      <c r="F106">
        <v>294</v>
      </c>
      <c r="G106">
        <v>28</v>
      </c>
      <c r="H106">
        <v>15</v>
      </c>
      <c r="I106">
        <f>IF(D106="","",IFERROR(VLOOKUP(D106,Instellingen!$D$5:$E$13,2,FALSE),""))</f>
        <v>30</v>
      </c>
      <c r="J106">
        <f>IF(C106="","",IF(C106="Ja",100,0))</f>
        <v>100</v>
      </c>
      <c r="K106">
        <f>IF(D106="","",SUM(I106*Instellingen!$B$5,J106*Instellingen!$B$6,IFERROR(E106/MAX($E$6:$E$189)*100,0)*Instellingen!$B$7,IFERROR(F106/MAX($F$6:$F$189)*100,0)*Instellingen!$B$8,IFERROR(G106/MAX($G$6:$G$189)*100,0)*Instellingen!$B$9,IFERROR(H106/MAX($H$6:$H$189)*100,0)*Instellingen!$B$10)/SUM(Instellingen!$B$5:$B$10))</f>
        <v>15.612957792747634</v>
      </c>
      <c r="L106">
        <f>IF(K106="","",ROUND((Instellingen!$B$16+(Instellingen!$B$17-Instellingen!$B$16)*POWER(K106/100,Instellingen!$B$18))/Instellingen!$B$19,0)*Instellingen!$B$19)</f>
        <v>602</v>
      </c>
      <c r="N106">
        <f>IF(L106="","",MAX(Instellingen!$B$16,MIN(Instellingen!$B$17,L106+IF(M106="",0,M106))))</f>
        <v>602</v>
      </c>
      <c r="O106" t="str">
        <f>IF(N106="","",IF(N106&gt;=Instellingen!$B$22,"Absolute top",IF(N106&gt;=Instellingen!$B$23,"Kopman",IF(N106&gt;=Instellingen!$B$24,"Sterke keuze",IF(N106&gt;=Instellingen!$B$25,"Bruikbaar","Gok")))))</f>
        <v>Gok</v>
      </c>
      <c r="P106" t="str">
        <f>IF(A106="","",IF(D106="","Rol invullen","Compleet"))</f>
        <v>Compleet</v>
      </c>
      <c r="Q106" t="s">
        <v>216</v>
      </c>
    </row>
    <row r="107" spans="1:17">
      <c r="A107" t="s">
        <v>318</v>
      </c>
      <c r="B107" t="s">
        <v>50</v>
      </c>
      <c r="C107" t="s">
        <v>25</v>
      </c>
      <c r="D107" t="s">
        <v>26</v>
      </c>
      <c r="E107">
        <v>178</v>
      </c>
      <c r="F107">
        <v>83</v>
      </c>
      <c r="G107">
        <v>46</v>
      </c>
      <c r="H107">
        <v>163</v>
      </c>
      <c r="I107">
        <f>IF(D107="","",IFERROR(VLOOKUP(D107,Instellingen!$D$5:$E$13,2,FALSE),""))</f>
        <v>30</v>
      </c>
      <c r="J107">
        <f>IF(C107="","",IF(C107="Ja",100,0))</f>
        <v>100</v>
      </c>
      <c r="K107">
        <f>IF(D107="","",SUM(I107*Instellingen!$B$5,J107*Instellingen!$B$6,IFERROR(E107/MAX($E$6:$E$189)*100,0)*Instellingen!$B$7,IFERROR(F107/MAX($F$6:$F$189)*100,0)*Instellingen!$B$8,IFERROR(G107/MAX($G$6:$G$189)*100,0)*Instellingen!$B$9,IFERROR(H107/MAX($H$6:$H$189)*100,0)*Instellingen!$B$10)/SUM(Instellingen!$B$5:$B$10))</f>
        <v>15.562003853451385</v>
      </c>
      <c r="L107">
        <f>IF(K107="","",ROUND((Instellingen!$B$16+(Instellingen!$B$17-Instellingen!$B$16)*POWER(K107/100,Instellingen!$B$18))/Instellingen!$B$19,0)*Instellingen!$B$19)</f>
        <v>600</v>
      </c>
      <c r="N107">
        <f>IF(L107="","",MAX(Instellingen!$B$16,MIN(Instellingen!$B$17,L107+IF(M107="",0,M107))))</f>
        <v>600</v>
      </c>
      <c r="O107" t="str">
        <f>IF(N107="","",IF(N107&gt;=Instellingen!$B$22,"Absolute top",IF(N107&gt;=Instellingen!$B$23,"Kopman",IF(N107&gt;=Instellingen!$B$24,"Sterke keuze",IF(N107&gt;=Instellingen!$B$25,"Bruikbaar","Gok")))))</f>
        <v>Gok</v>
      </c>
      <c r="P107" t="str">
        <f>IF(A107="","",IF(D107="","Rol invullen","Compleet"))</f>
        <v>Compleet</v>
      </c>
      <c r="Q107" t="s">
        <v>319</v>
      </c>
    </row>
    <row r="108" spans="1:17">
      <c r="A108" t="s">
        <v>75</v>
      </c>
      <c r="B108" t="s">
        <v>73</v>
      </c>
      <c r="C108" t="s">
        <v>25</v>
      </c>
      <c r="D108" t="s">
        <v>26</v>
      </c>
      <c r="E108">
        <v>186</v>
      </c>
      <c r="F108">
        <v>76</v>
      </c>
      <c r="G108">
        <v>138</v>
      </c>
      <c r="H108">
        <v>4</v>
      </c>
      <c r="I108">
        <f>IF(D108="","",IFERROR(VLOOKUP(D108,Instellingen!$D$5:$E$13,2,FALSE),""))</f>
        <v>30</v>
      </c>
      <c r="J108">
        <f>IF(C108="","",IF(C108="Ja",100,0))</f>
        <v>100</v>
      </c>
      <c r="K108">
        <f>IF(D108="","",SUM(I108*Instellingen!$B$5,J108*Instellingen!$B$6,IFERROR(E108/MAX($E$6:$E$189)*100,0)*Instellingen!$B$7,IFERROR(F108/MAX($F$6:$F$189)*100,0)*Instellingen!$B$8,IFERROR(G108/MAX($G$6:$G$189)*100,0)*Instellingen!$B$9,IFERROR(H108/MAX($H$6:$H$189)*100,0)*Instellingen!$B$10)/SUM(Instellingen!$B$5:$B$10))</f>
        <v>15.584190281708874</v>
      </c>
      <c r="L108">
        <f>IF(K108="","",ROUND((Instellingen!$B$16+(Instellingen!$B$17-Instellingen!$B$16)*POWER(K108/100,Instellingen!$B$18))/Instellingen!$B$19,0)*Instellingen!$B$19)</f>
        <v>601</v>
      </c>
      <c r="N108">
        <f>IF(L108="","",MAX(Instellingen!$B$16,MIN(Instellingen!$B$17,L108+IF(M108="",0,M108))))</f>
        <v>601</v>
      </c>
      <c r="O108" t="str">
        <f>IF(N108="","",IF(N108&gt;=Instellingen!$B$22,"Absolute top",IF(N108&gt;=Instellingen!$B$23,"Kopman",IF(N108&gt;=Instellingen!$B$24,"Sterke keuze",IF(N108&gt;=Instellingen!$B$25,"Bruikbaar","Gok")))))</f>
        <v>Gok</v>
      </c>
      <c r="P108" t="str">
        <f>IF(A108="","",IF(D108="","Rol invullen","Compleet"))</f>
        <v>Compleet</v>
      </c>
      <c r="Q108" t="s">
        <v>76</v>
      </c>
    </row>
    <row r="109" spans="1:17">
      <c r="A109" t="s">
        <v>396</v>
      </c>
      <c r="B109" t="s">
        <v>240</v>
      </c>
      <c r="C109" t="s">
        <v>25</v>
      </c>
      <c r="D109" t="s">
        <v>26</v>
      </c>
      <c r="E109">
        <v>111</v>
      </c>
      <c r="F109">
        <v>215</v>
      </c>
      <c r="G109">
        <v>182</v>
      </c>
      <c r="H109">
        <v>1</v>
      </c>
      <c r="I109">
        <f>IF(D109="","",IFERROR(VLOOKUP(D109,Instellingen!$D$5:$E$13,2,FALSE),""))</f>
        <v>30</v>
      </c>
      <c r="J109">
        <f>IF(C109="","",IF(C109="Ja",100,0))</f>
        <v>100</v>
      </c>
      <c r="K109">
        <f>IF(D109="","",SUM(I109*Instellingen!$B$5,J109*Instellingen!$B$6,IFERROR(E109/MAX($E$6:$E$189)*100,0)*Instellingen!$B$7,IFERROR(F109/MAX($F$6:$F$189)*100,0)*Instellingen!$B$8,IFERROR(G109/MAX($G$6:$G$189)*100,0)*Instellingen!$B$9,IFERROR(H109/MAX($H$6:$H$189)*100,0)*Instellingen!$B$10)/SUM(Instellingen!$B$5:$B$10))</f>
        <v>15.581662646704102</v>
      </c>
      <c r="L109">
        <f>IF(K109="","",ROUND((Instellingen!$B$16+(Instellingen!$B$17-Instellingen!$B$16)*POWER(K109/100,Instellingen!$B$18))/Instellingen!$B$19,0)*Instellingen!$B$19)</f>
        <v>601</v>
      </c>
      <c r="N109">
        <f>IF(L109="","",MAX(Instellingen!$B$16,MIN(Instellingen!$B$17,L109+IF(M109="",0,M109))))</f>
        <v>601</v>
      </c>
      <c r="O109" t="str">
        <f>IF(N109="","",IF(N109&gt;=Instellingen!$B$22,"Absolute top",IF(N109&gt;=Instellingen!$B$23,"Kopman",IF(N109&gt;=Instellingen!$B$24,"Sterke keuze",IF(N109&gt;=Instellingen!$B$25,"Bruikbaar","Gok")))))</f>
        <v>Gok</v>
      </c>
      <c r="P109" t="str">
        <f>IF(A109="","",IF(D109="","Rol invullen","Compleet"))</f>
        <v>Compleet</v>
      </c>
      <c r="Q109" t="s">
        <v>397</v>
      </c>
    </row>
    <row r="110" spans="1:17">
      <c r="A110" t="s">
        <v>384</v>
      </c>
      <c r="B110" t="s">
        <v>105</v>
      </c>
      <c r="C110" t="s">
        <v>25</v>
      </c>
      <c r="D110" t="s">
        <v>26</v>
      </c>
      <c r="E110">
        <v>197</v>
      </c>
      <c r="F110">
        <v>51</v>
      </c>
      <c r="G110">
        <v>60</v>
      </c>
      <c r="H110">
        <v>65</v>
      </c>
      <c r="I110">
        <f>IF(D110="","",IFERROR(VLOOKUP(D110,Instellingen!$D$5:$E$13,2,FALSE),""))</f>
        <v>30</v>
      </c>
      <c r="J110">
        <f>IF(C110="","",IF(C110="Ja",100,0))</f>
        <v>100</v>
      </c>
      <c r="K110">
        <f>IF(D110="","",SUM(I110*Instellingen!$B$5,J110*Instellingen!$B$6,IFERROR(E110/MAX($E$6:$E$189)*100,0)*Instellingen!$B$7,IFERROR(F110/MAX($F$6:$F$189)*100,0)*Instellingen!$B$8,IFERROR(G110/MAX($G$6:$G$189)*100,0)*Instellingen!$B$9,IFERROR(H110/MAX($H$6:$H$189)*100,0)*Instellingen!$B$10)/SUM(Instellingen!$B$5:$B$10))</f>
        <v>15.525390406006368</v>
      </c>
      <c r="L110">
        <f>IF(K110="","",ROUND((Instellingen!$B$16+(Instellingen!$B$17-Instellingen!$B$16)*POWER(K110/100,Instellingen!$B$18))/Instellingen!$B$19,0)*Instellingen!$B$19)</f>
        <v>599</v>
      </c>
      <c r="N110">
        <f>IF(L110="","",MAX(Instellingen!$B$16,MIN(Instellingen!$B$17,L110+IF(M110="",0,M110))))</f>
        <v>599</v>
      </c>
      <c r="O110" t="str">
        <f>IF(N110="","",IF(N110&gt;=Instellingen!$B$22,"Absolute top",IF(N110&gt;=Instellingen!$B$23,"Kopman",IF(N110&gt;=Instellingen!$B$24,"Sterke keuze",IF(N110&gt;=Instellingen!$B$25,"Bruikbaar","Gok")))))</f>
        <v>Gok</v>
      </c>
      <c r="P110" t="str">
        <f>IF(A110="","",IF(D110="","Rol invullen","Compleet"))</f>
        <v>Compleet</v>
      </c>
      <c r="Q110" t="s">
        <v>385</v>
      </c>
    </row>
    <row r="111" spans="1:17">
      <c r="A111" t="s">
        <v>183</v>
      </c>
      <c r="B111" t="s">
        <v>175</v>
      </c>
      <c r="C111" t="s">
        <v>25</v>
      </c>
      <c r="D111" t="s">
        <v>26</v>
      </c>
      <c r="E111">
        <v>174</v>
      </c>
      <c r="F111">
        <v>93</v>
      </c>
      <c r="G111">
        <v>83</v>
      </c>
      <c r="H111">
        <v>0</v>
      </c>
      <c r="I111">
        <f>IF(D111="","",IFERROR(VLOOKUP(D111,Instellingen!$D$5:$E$13,2,FALSE),""))</f>
        <v>30</v>
      </c>
      <c r="J111">
        <f>IF(C111="","",IF(C111="Ja",100,0))</f>
        <v>100</v>
      </c>
      <c r="K111">
        <f>IF(D111="","",SUM(I111*Instellingen!$B$5,J111*Instellingen!$B$6,IFERROR(E111/MAX($E$6:$E$189)*100,0)*Instellingen!$B$7,IFERROR(F111/MAX($F$6:$F$189)*100,0)*Instellingen!$B$8,IFERROR(G111/MAX($G$6:$G$189)*100,0)*Instellingen!$B$9,IFERROR(H111/MAX($H$6:$H$189)*100,0)*Instellingen!$B$10)/SUM(Instellingen!$B$5:$B$10))</f>
        <v>15.486287376820616</v>
      </c>
      <c r="L111">
        <f>IF(K111="","",ROUND((Instellingen!$B$16+(Instellingen!$B$17-Instellingen!$B$16)*POWER(K111/100,Instellingen!$B$18))/Instellingen!$B$19,0)*Instellingen!$B$19)</f>
        <v>598</v>
      </c>
      <c r="N111">
        <f>IF(L111="","",MAX(Instellingen!$B$16,MIN(Instellingen!$B$17,L111+IF(M111="",0,M111))))</f>
        <v>598</v>
      </c>
      <c r="O111" t="str">
        <f>IF(N111="","",IF(N111&gt;=Instellingen!$B$22,"Absolute top",IF(N111&gt;=Instellingen!$B$23,"Kopman",IF(N111&gt;=Instellingen!$B$24,"Sterke keuze",IF(N111&gt;=Instellingen!$B$25,"Bruikbaar","Gok")))))</f>
        <v>Gok</v>
      </c>
      <c r="P111" t="str">
        <f>IF(A111="","",IF(D111="","Rol invullen","Compleet"))</f>
        <v>Compleet</v>
      </c>
      <c r="Q111" t="s">
        <v>184</v>
      </c>
    </row>
    <row r="112" spans="1:17">
      <c r="A112" t="s">
        <v>235</v>
      </c>
      <c r="B112" t="s">
        <v>223</v>
      </c>
      <c r="C112" t="s">
        <v>25</v>
      </c>
      <c r="D112" t="s">
        <v>26</v>
      </c>
      <c r="E112">
        <v>154</v>
      </c>
      <c r="F112">
        <v>78</v>
      </c>
      <c r="G112">
        <v>133</v>
      </c>
      <c r="H112">
        <v>0</v>
      </c>
      <c r="I112">
        <f>IF(D112="","",IFERROR(VLOOKUP(D112,Instellingen!$D$5:$E$13,2,FALSE),""))</f>
        <v>30</v>
      </c>
      <c r="J112">
        <f>IF(C112="","",IF(C112="Ja",100,0))</f>
        <v>100</v>
      </c>
      <c r="K112">
        <f>IF(D112="","",SUM(I112*Instellingen!$B$5,J112*Instellingen!$B$6,IFERROR(E112/MAX($E$6:$E$189)*100,0)*Instellingen!$B$7,IFERROR(F112/MAX($F$6:$F$189)*100,0)*Instellingen!$B$8,IFERROR(G112/MAX($G$6:$G$189)*100,0)*Instellingen!$B$9,IFERROR(H112/MAX($H$6:$H$189)*100,0)*Instellingen!$B$10)/SUM(Instellingen!$B$5:$B$10))</f>
        <v>15.447411344750671</v>
      </c>
      <c r="L112">
        <f>IF(K112="","",ROUND((Instellingen!$B$16+(Instellingen!$B$17-Instellingen!$B$16)*POWER(K112/100,Instellingen!$B$18))/Instellingen!$B$19,0)*Instellingen!$B$19)</f>
        <v>597</v>
      </c>
      <c r="N112">
        <f>IF(L112="","",MAX(Instellingen!$B$16,MIN(Instellingen!$B$17,L112+IF(M112="",0,M112))))</f>
        <v>597</v>
      </c>
      <c r="O112" t="str">
        <f>IF(N112="","",IF(N112&gt;=Instellingen!$B$22,"Absolute top",IF(N112&gt;=Instellingen!$B$23,"Kopman",IF(N112&gt;=Instellingen!$B$24,"Sterke keuze",IF(N112&gt;=Instellingen!$B$25,"Bruikbaar","Gok")))))</f>
        <v>Gok</v>
      </c>
      <c r="P112" t="str">
        <f>IF(A112="","",IF(D112="","Rol invullen","Compleet"))</f>
        <v>Compleet</v>
      </c>
      <c r="Q112" t="s">
        <v>236</v>
      </c>
    </row>
    <row r="113" spans="1:17">
      <c r="A113" t="s">
        <v>296</v>
      </c>
      <c r="B113" t="s">
        <v>38</v>
      </c>
      <c r="C113" t="s">
        <v>25</v>
      </c>
      <c r="D113" t="s">
        <v>26</v>
      </c>
      <c r="E113">
        <v>56</v>
      </c>
      <c r="F113">
        <v>291</v>
      </c>
      <c r="G113">
        <v>96</v>
      </c>
      <c r="H113">
        <v>71</v>
      </c>
      <c r="I113">
        <f>IF(D113="","",IFERROR(VLOOKUP(D113,Instellingen!$D$5:$E$13,2,FALSE),""))</f>
        <v>30</v>
      </c>
      <c r="J113">
        <f>IF(C113="","",IF(C113="Ja",100,0))</f>
        <v>100</v>
      </c>
      <c r="K113">
        <f>IF(D113="","",SUM(I113*Instellingen!$B$5,J113*Instellingen!$B$6,IFERROR(E113/MAX($E$6:$E$189)*100,0)*Instellingen!$B$7,IFERROR(F113/MAX($F$6:$F$189)*100,0)*Instellingen!$B$8,IFERROR(G113/MAX($G$6:$G$189)*100,0)*Instellingen!$B$9,IFERROR(H113/MAX($H$6:$H$189)*100,0)*Instellingen!$B$10)/SUM(Instellingen!$B$5:$B$10))</f>
        <v>15.427881943568343</v>
      </c>
      <c r="L113">
        <f>IF(K113="","",ROUND((Instellingen!$B$16+(Instellingen!$B$17-Instellingen!$B$16)*POWER(K113/100,Instellingen!$B$18))/Instellingen!$B$19,0)*Instellingen!$B$19)</f>
        <v>597</v>
      </c>
      <c r="N113">
        <f>IF(L113="","",MAX(Instellingen!$B$16,MIN(Instellingen!$B$17,L113+IF(M113="",0,M113))))</f>
        <v>597</v>
      </c>
      <c r="O113" t="str">
        <f>IF(N113="","",IF(N113&gt;=Instellingen!$B$22,"Absolute top",IF(N113&gt;=Instellingen!$B$23,"Kopman",IF(N113&gt;=Instellingen!$B$24,"Sterke keuze",IF(N113&gt;=Instellingen!$B$25,"Bruikbaar","Gok")))))</f>
        <v>Gok</v>
      </c>
      <c r="P113" t="str">
        <f>IF(A113="","",IF(D113="","Rol invullen","Compleet"))</f>
        <v>Compleet</v>
      </c>
      <c r="Q113" t="s">
        <v>297</v>
      </c>
    </row>
    <row r="114" spans="1:17">
      <c r="A114" t="s">
        <v>354</v>
      </c>
      <c r="B114" t="s">
        <v>192</v>
      </c>
      <c r="C114" t="s">
        <v>25</v>
      </c>
      <c r="D114" t="s">
        <v>26</v>
      </c>
      <c r="E114">
        <v>166</v>
      </c>
      <c r="F114">
        <v>54</v>
      </c>
      <c r="G114">
        <v>108</v>
      </c>
      <c r="H114">
        <v>0</v>
      </c>
      <c r="I114">
        <f>IF(D114="","",IFERROR(VLOOKUP(D114,Instellingen!$D$5:$E$13,2,FALSE),""))</f>
        <v>30</v>
      </c>
      <c r="J114">
        <f>IF(C114="","",IF(C114="Ja",100,0))</f>
        <v>100</v>
      </c>
      <c r="K114">
        <f>IF(D114="","",SUM(I114*Instellingen!$B$5,J114*Instellingen!$B$6,IFERROR(E114/MAX($E$6:$E$189)*100,0)*Instellingen!$B$7,IFERROR(F114/MAX($F$6:$F$189)*100,0)*Instellingen!$B$8,IFERROR(G114/MAX($G$6:$G$189)*100,0)*Instellingen!$B$9,IFERROR(H114/MAX($H$6:$H$189)*100,0)*Instellingen!$B$10)/SUM(Instellingen!$B$5:$B$10))</f>
        <v>15.419586690880365</v>
      </c>
      <c r="L114">
        <f>IF(K114="","",ROUND((Instellingen!$B$16+(Instellingen!$B$17-Instellingen!$B$16)*POWER(K114/100,Instellingen!$B$18))/Instellingen!$B$19,0)*Instellingen!$B$19)</f>
        <v>597</v>
      </c>
      <c r="N114">
        <f>IF(L114="","",MAX(Instellingen!$B$16,MIN(Instellingen!$B$17,L114+IF(M114="",0,M114))))</f>
        <v>597</v>
      </c>
      <c r="O114" t="str">
        <f>IF(N114="","",IF(N114&gt;=Instellingen!$B$22,"Absolute top",IF(N114&gt;=Instellingen!$B$23,"Kopman",IF(N114&gt;=Instellingen!$B$24,"Sterke keuze",IF(N114&gt;=Instellingen!$B$25,"Bruikbaar","Gok")))))</f>
        <v>Gok</v>
      </c>
      <c r="P114" t="str">
        <f>IF(A114="","",IF(D114="","Rol invullen","Compleet"))</f>
        <v>Compleet</v>
      </c>
      <c r="Q114" t="s">
        <v>355</v>
      </c>
    </row>
    <row r="115" spans="1:17">
      <c r="A115" t="s">
        <v>144</v>
      </c>
      <c r="B115" t="s">
        <v>145</v>
      </c>
      <c r="C115" t="s">
        <v>25</v>
      </c>
      <c r="D115" t="s">
        <v>26</v>
      </c>
      <c r="E115">
        <v>165</v>
      </c>
      <c r="F115">
        <v>16</v>
      </c>
      <c r="G115">
        <v>121</v>
      </c>
      <c r="H115">
        <v>0</v>
      </c>
      <c r="I115">
        <f>IF(D115="","",IFERROR(VLOOKUP(D115,Instellingen!$D$5:$E$13,2,FALSE),""))</f>
        <v>30</v>
      </c>
      <c r="J115">
        <f>IF(C115="","",IF(C115="Ja",100,0))</f>
        <v>100</v>
      </c>
      <c r="K115">
        <f>IF(D115="","",SUM(I115*Instellingen!$B$5,J115*Instellingen!$B$6,IFERROR(E115/MAX($E$6:$E$189)*100,0)*Instellingen!$B$7,IFERROR(F115/MAX($F$6:$F$189)*100,0)*Instellingen!$B$8,IFERROR(G115/MAX($G$6:$G$189)*100,0)*Instellingen!$B$9,IFERROR(H115/MAX($H$6:$H$189)*100,0)*Instellingen!$B$10)/SUM(Instellingen!$B$5:$B$10))</f>
        <v>15.366598787027705</v>
      </c>
      <c r="L115">
        <f>IF(K115="","",ROUND((Instellingen!$B$16+(Instellingen!$B$17-Instellingen!$B$16)*POWER(K115/100,Instellingen!$B$18))/Instellingen!$B$19,0)*Instellingen!$B$19)</f>
        <v>595</v>
      </c>
      <c r="N115">
        <f>IF(L115="","",MAX(Instellingen!$B$16,MIN(Instellingen!$B$17,L115+IF(M115="",0,M115))))</f>
        <v>595</v>
      </c>
      <c r="O115" t="str">
        <f>IF(N115="","",IF(N115&gt;=Instellingen!$B$22,"Absolute top",IF(N115&gt;=Instellingen!$B$23,"Kopman",IF(N115&gt;=Instellingen!$B$24,"Sterke keuze",IF(N115&gt;=Instellingen!$B$25,"Bruikbaar","Gok")))))</f>
        <v>Gok</v>
      </c>
      <c r="P115" t="str">
        <f>IF(A115="","",IF(D115="","Rol invullen","Compleet"))</f>
        <v>Compleet</v>
      </c>
      <c r="Q115" t="s">
        <v>146</v>
      </c>
    </row>
    <row r="116" spans="1:17">
      <c r="A116" t="s">
        <v>408</v>
      </c>
      <c r="B116" t="s">
        <v>57</v>
      </c>
      <c r="C116" t="s">
        <v>21</v>
      </c>
      <c r="D116" t="s">
        <v>30</v>
      </c>
      <c r="E116">
        <v>1185</v>
      </c>
      <c r="F116">
        <v>466</v>
      </c>
      <c r="G116">
        <v>969</v>
      </c>
      <c r="H116">
        <v>84</v>
      </c>
      <c r="I116">
        <f>IF(D116="","",IFERROR(VLOOKUP(D116,Instellingen!$D$5:$E$13,2,FALSE),""))</f>
        <v>55</v>
      </c>
      <c r="J116">
        <f>IF(C116="","",IF(C116="Ja",100,0))</f>
        <v>0</v>
      </c>
      <c r="K116">
        <f>IF(D116="","",SUM(I116*Instellingen!$B$5,J116*Instellingen!$B$6,IFERROR(E116/MAX($E$6:$E$189)*100,0)*Instellingen!$B$7,IFERROR(F116/MAX($F$6:$F$189)*100,0)*Instellingen!$B$8,IFERROR(G116/MAX($G$6:$G$189)*100,0)*Instellingen!$B$9,IFERROR(H116/MAX($H$6:$H$189)*100,0)*Instellingen!$B$10)/SUM(Instellingen!$B$5:$B$10))</f>
        <v>15.295092575371607</v>
      </c>
      <c r="L116">
        <f>IF(K116="","",ROUND((Instellingen!$B$16+(Instellingen!$B$17-Instellingen!$B$16)*POWER(K116/100,Instellingen!$B$18))/Instellingen!$B$19,0)*Instellingen!$B$19)</f>
        <v>593</v>
      </c>
      <c r="N116">
        <f>IF(L116="","",MAX(Instellingen!$B$16,MIN(Instellingen!$B$17,L116+IF(M116="",0,M116))))</f>
        <v>593</v>
      </c>
      <c r="O116" t="str">
        <f>IF(N116="","",IF(N116&gt;=Instellingen!$B$22,"Absolute top",IF(N116&gt;=Instellingen!$B$23,"Kopman",IF(N116&gt;=Instellingen!$B$24,"Sterke keuze",IF(N116&gt;=Instellingen!$B$25,"Bruikbaar","Gok")))))</f>
        <v>Gok</v>
      </c>
      <c r="P116" t="str">
        <f>IF(A116="","",IF(D116="","Rol invullen","Compleet"))</f>
        <v>Compleet</v>
      </c>
      <c r="Q116" t="s">
        <v>409</v>
      </c>
    </row>
    <row r="117" spans="1:17">
      <c r="A117" t="s">
        <v>386</v>
      </c>
      <c r="B117" t="s">
        <v>105</v>
      </c>
      <c r="C117" t="s">
        <v>25</v>
      </c>
      <c r="D117" t="s">
        <v>26</v>
      </c>
      <c r="E117">
        <v>69</v>
      </c>
      <c r="F117">
        <v>163</v>
      </c>
      <c r="G117">
        <v>136</v>
      </c>
      <c r="H117">
        <v>44</v>
      </c>
      <c r="I117">
        <f>IF(D117="","",IFERROR(VLOOKUP(D117,Instellingen!$D$5:$E$13,2,FALSE),""))</f>
        <v>30</v>
      </c>
      <c r="J117">
        <f>IF(C117="","",IF(C117="Ja",100,0))</f>
        <v>100</v>
      </c>
      <c r="K117">
        <f>IF(D117="","",SUM(I117*Instellingen!$B$5,J117*Instellingen!$B$6,IFERROR(E117/MAX($E$6:$E$189)*100,0)*Instellingen!$B$7,IFERROR(F117/MAX($F$6:$F$189)*100,0)*Instellingen!$B$8,IFERROR(G117/MAX($G$6:$G$189)*100,0)*Instellingen!$B$9,IFERROR(H117/MAX($H$6:$H$189)*100,0)*Instellingen!$B$10)/SUM(Instellingen!$B$5:$B$10))</f>
        <v>15.289597628339557</v>
      </c>
      <c r="L117">
        <f>IF(K117="","",ROUND((Instellingen!$B$16+(Instellingen!$B$17-Instellingen!$B$16)*POWER(K117/100,Instellingen!$B$18))/Instellingen!$B$19,0)*Instellingen!$B$19)</f>
        <v>593</v>
      </c>
      <c r="N117">
        <f>IF(L117="","",MAX(Instellingen!$B$16,MIN(Instellingen!$B$17,L117+IF(M117="",0,M117))))</f>
        <v>593</v>
      </c>
      <c r="O117" t="str">
        <f>IF(N117="","",IF(N117&gt;=Instellingen!$B$22,"Absolute top",IF(N117&gt;=Instellingen!$B$23,"Kopman",IF(N117&gt;=Instellingen!$B$24,"Sterke keuze",IF(N117&gt;=Instellingen!$B$25,"Bruikbaar","Gok")))))</f>
        <v>Gok</v>
      </c>
      <c r="P117" t="str">
        <f>IF(A117="","",IF(D117="","Rol invullen","Compleet"))</f>
        <v>Compleet</v>
      </c>
      <c r="Q117" t="s">
        <v>387</v>
      </c>
    </row>
    <row r="118" spans="1:17">
      <c r="A118" t="s">
        <v>246</v>
      </c>
      <c r="B118" t="s">
        <v>247</v>
      </c>
      <c r="C118" t="s">
        <v>21</v>
      </c>
      <c r="D118" t="s">
        <v>30</v>
      </c>
      <c r="E118">
        <v>1114</v>
      </c>
      <c r="F118">
        <v>618</v>
      </c>
      <c r="G118">
        <v>833</v>
      </c>
      <c r="H118">
        <v>326</v>
      </c>
      <c r="I118">
        <f>IF(D118="","",IFERROR(VLOOKUP(D118,Instellingen!$D$5:$E$13,2,FALSE),""))</f>
        <v>55</v>
      </c>
      <c r="J118">
        <f>IF(C118="","",IF(C118="Ja",100,0))</f>
        <v>0</v>
      </c>
      <c r="K118">
        <f>IF(D118="","",SUM(I118*Instellingen!$B$5,J118*Instellingen!$B$6,IFERROR(E118/MAX($E$6:$E$189)*100,0)*Instellingen!$B$7,IFERROR(F118/MAX($F$6:$F$189)*100,0)*Instellingen!$B$8,IFERROR(G118/MAX($G$6:$G$189)*100,0)*Instellingen!$B$9,IFERROR(H118/MAX($H$6:$H$189)*100,0)*Instellingen!$B$10)/SUM(Instellingen!$B$5:$B$10))</f>
        <v>15.276025351635003</v>
      </c>
      <c r="L118">
        <f>IF(K118="","",ROUND((Instellingen!$B$16+(Instellingen!$B$17-Instellingen!$B$16)*POWER(K118/100,Instellingen!$B$18))/Instellingen!$B$19,0)*Instellingen!$B$19)</f>
        <v>593</v>
      </c>
      <c r="N118">
        <f>IF(L118="","",MAX(Instellingen!$B$16,MIN(Instellingen!$B$17,L118+IF(M118="",0,M118))))</f>
        <v>593</v>
      </c>
      <c r="O118" t="str">
        <f>IF(N118="","",IF(N118&gt;=Instellingen!$B$22,"Absolute top",IF(N118&gt;=Instellingen!$B$23,"Kopman",IF(N118&gt;=Instellingen!$B$24,"Sterke keuze",IF(N118&gt;=Instellingen!$B$25,"Bruikbaar","Gok")))))</f>
        <v>Gok</v>
      </c>
      <c r="P118" t="str">
        <f>IF(A118="","",IF(D118="","Rol invullen","Compleet"))</f>
        <v>Compleet</v>
      </c>
      <c r="Q118" t="s">
        <v>248</v>
      </c>
    </row>
    <row r="119" spans="1:17">
      <c r="A119" t="s">
        <v>418</v>
      </c>
      <c r="B119" t="s">
        <v>117</v>
      </c>
      <c r="C119" t="s">
        <v>21</v>
      </c>
      <c r="D119" t="s">
        <v>30</v>
      </c>
      <c r="E119">
        <v>918</v>
      </c>
      <c r="F119">
        <v>902</v>
      </c>
      <c r="G119">
        <v>1121</v>
      </c>
      <c r="H119">
        <v>65</v>
      </c>
      <c r="I119">
        <f>IF(D119="","",IFERROR(VLOOKUP(D119,Instellingen!$D$5:$E$13,2,FALSE),""))</f>
        <v>55</v>
      </c>
      <c r="J119">
        <f>IF(C119="","",IF(C119="Ja",100,0))</f>
        <v>0</v>
      </c>
      <c r="K119">
        <f>IF(D119="","",SUM(I119*Instellingen!$B$5,J119*Instellingen!$B$6,IFERROR(E119/MAX($E$6:$E$189)*100,0)*Instellingen!$B$7,IFERROR(F119/MAX($F$6:$F$189)*100,0)*Instellingen!$B$8,IFERROR(G119/MAX($G$6:$G$189)*100,0)*Instellingen!$B$9,IFERROR(H119/MAX($H$6:$H$189)*100,0)*Instellingen!$B$10)/SUM(Instellingen!$B$5:$B$10))</f>
        <v>15.16967225835463</v>
      </c>
      <c r="L119">
        <f>IF(K119="","",ROUND((Instellingen!$B$16+(Instellingen!$B$17-Instellingen!$B$16)*POWER(K119/100,Instellingen!$B$18))/Instellingen!$B$19,0)*Instellingen!$B$19)</f>
        <v>590</v>
      </c>
      <c r="N119">
        <f>IF(L119="","",MAX(Instellingen!$B$16,MIN(Instellingen!$B$17,L119+IF(M119="",0,M119))))</f>
        <v>590</v>
      </c>
      <c r="O119" t="str">
        <f>IF(N119="","",IF(N119&gt;=Instellingen!$B$22,"Absolute top",IF(N119&gt;=Instellingen!$B$23,"Kopman",IF(N119&gt;=Instellingen!$B$24,"Sterke keuze",IF(N119&gt;=Instellingen!$B$25,"Bruikbaar","Gok")))))</f>
        <v>Gok</v>
      </c>
      <c r="P119" t="str">
        <f>IF(A119="","",IF(D119="","Rol invullen","Compleet"))</f>
        <v>Compleet</v>
      </c>
      <c r="Q119" t="s">
        <v>419</v>
      </c>
    </row>
    <row r="120" spans="1:17">
      <c r="A120" t="s">
        <v>211</v>
      </c>
      <c r="B120" t="s">
        <v>201</v>
      </c>
      <c r="C120" t="s">
        <v>25</v>
      </c>
      <c r="D120" t="s">
        <v>26</v>
      </c>
      <c r="E120">
        <v>104</v>
      </c>
      <c r="F120">
        <v>45</v>
      </c>
      <c r="G120">
        <v>102</v>
      </c>
      <c r="H120">
        <v>27</v>
      </c>
      <c r="I120">
        <f>IF(D120="","",IFERROR(VLOOKUP(D120,Instellingen!$D$5:$E$13,2,FALSE),""))</f>
        <v>30</v>
      </c>
      <c r="J120">
        <f>IF(C120="","",IF(C120="Ja",100,0))</f>
        <v>100</v>
      </c>
      <c r="K120">
        <f>IF(D120="","",SUM(I120*Instellingen!$B$5,J120*Instellingen!$B$6,IFERROR(E120/MAX($E$6:$E$189)*100,0)*Instellingen!$B$7,IFERROR(F120/MAX($F$6:$F$189)*100,0)*Instellingen!$B$8,IFERROR(G120/MAX($G$6:$G$189)*100,0)*Instellingen!$B$9,IFERROR(H120/MAX($H$6:$H$189)*100,0)*Instellingen!$B$10)/SUM(Instellingen!$B$5:$B$10))</f>
        <v>15.164308543684626</v>
      </c>
      <c r="L120">
        <f>IF(K120="","",ROUND((Instellingen!$B$16+(Instellingen!$B$17-Instellingen!$B$16)*POWER(K120/100,Instellingen!$B$18))/Instellingen!$B$19,0)*Instellingen!$B$19)</f>
        <v>590</v>
      </c>
      <c r="N120">
        <f>IF(L120="","",MAX(Instellingen!$B$16,MIN(Instellingen!$B$17,L120+IF(M120="",0,M120))))</f>
        <v>590</v>
      </c>
      <c r="O120" t="str">
        <f>IF(N120="","",IF(N120&gt;=Instellingen!$B$22,"Absolute top",IF(N120&gt;=Instellingen!$B$23,"Kopman",IF(N120&gt;=Instellingen!$B$24,"Sterke keuze",IF(N120&gt;=Instellingen!$B$25,"Bruikbaar","Gok")))))</f>
        <v>Gok</v>
      </c>
      <c r="P120" t="str">
        <f>IF(A120="","",IF(D120="","Rol invullen","Compleet"))</f>
        <v>Compleet</v>
      </c>
      <c r="Q120" t="s">
        <v>212</v>
      </c>
    </row>
    <row r="121" spans="1:17">
      <c r="A121" t="s">
        <v>368</v>
      </c>
      <c r="B121" t="s">
        <v>218</v>
      </c>
      <c r="C121" t="s">
        <v>25</v>
      </c>
      <c r="D121" t="s">
        <v>26</v>
      </c>
      <c r="E121">
        <v>97</v>
      </c>
      <c r="F121">
        <v>84</v>
      </c>
      <c r="G121">
        <v>39</v>
      </c>
      <c r="H121">
        <v>4</v>
      </c>
      <c r="I121">
        <f>IF(D121="","",IFERROR(VLOOKUP(D121,Instellingen!$D$5:$E$13,2,FALSE),""))</f>
        <v>30</v>
      </c>
      <c r="J121">
        <f>IF(C121="","",IF(C121="Ja",100,0))</f>
        <v>100</v>
      </c>
      <c r="K121">
        <f>IF(D121="","",SUM(I121*Instellingen!$B$5,J121*Instellingen!$B$6,IFERROR(E121/MAX($E$6:$E$189)*100,0)*Instellingen!$B$7,IFERROR(F121/MAX($F$6:$F$189)*100,0)*Instellingen!$B$8,IFERROR(G121/MAX($G$6:$G$189)*100,0)*Instellingen!$B$9,IFERROR(H121/MAX($H$6:$H$189)*100,0)*Instellingen!$B$10)/SUM(Instellingen!$B$5:$B$10))</f>
        <v>15.099503721821014</v>
      </c>
      <c r="L121">
        <f>IF(K121="","",ROUND((Instellingen!$B$16+(Instellingen!$B$17-Instellingen!$B$16)*POWER(K121/100,Instellingen!$B$18))/Instellingen!$B$19,0)*Instellingen!$B$19)</f>
        <v>588</v>
      </c>
      <c r="N121">
        <f>IF(L121="","",MAX(Instellingen!$B$16,MIN(Instellingen!$B$17,L121+IF(M121="",0,M121))))</f>
        <v>588</v>
      </c>
      <c r="O121" t="str">
        <f>IF(N121="","",IF(N121&gt;=Instellingen!$B$22,"Absolute top",IF(N121&gt;=Instellingen!$B$23,"Kopman",IF(N121&gt;=Instellingen!$B$24,"Sterke keuze",IF(N121&gt;=Instellingen!$B$25,"Bruikbaar","Gok")))))</f>
        <v>Gok</v>
      </c>
      <c r="P121" t="str">
        <f>IF(A121="","",IF(D121="","Rol invullen","Compleet"))</f>
        <v>Compleet</v>
      </c>
      <c r="Q121" t="s">
        <v>369</v>
      </c>
    </row>
    <row r="122" spans="1:17">
      <c r="A122" t="s">
        <v>342</v>
      </c>
      <c r="B122" t="s">
        <v>110</v>
      </c>
      <c r="C122" t="s">
        <v>25</v>
      </c>
      <c r="D122" t="s">
        <v>26</v>
      </c>
      <c r="E122">
        <v>30</v>
      </c>
      <c r="F122">
        <v>104</v>
      </c>
      <c r="G122">
        <v>37</v>
      </c>
      <c r="H122">
        <v>201</v>
      </c>
      <c r="I122">
        <f>IF(D122="","",IFERROR(VLOOKUP(D122,Instellingen!$D$5:$E$13,2,FALSE),""))</f>
        <v>30</v>
      </c>
      <c r="J122">
        <f>IF(C122="","",IF(C122="Ja",100,0))</f>
        <v>100</v>
      </c>
      <c r="K122">
        <f>IF(D122="","",SUM(I122*Instellingen!$B$5,J122*Instellingen!$B$6,IFERROR(E122/MAX($E$6:$E$189)*100,0)*Instellingen!$B$7,IFERROR(F122/MAX($F$6:$F$189)*100,0)*Instellingen!$B$8,IFERROR(G122/MAX($G$6:$G$189)*100,0)*Instellingen!$B$9,IFERROR(H122/MAX($H$6:$H$189)*100,0)*Instellingen!$B$10)/SUM(Instellingen!$B$5:$B$10))</f>
        <v>15.013914478608543</v>
      </c>
      <c r="L122">
        <f>IF(K122="","",ROUND((Instellingen!$B$16+(Instellingen!$B$17-Instellingen!$B$16)*POWER(K122/100,Instellingen!$B$18))/Instellingen!$B$19,0)*Instellingen!$B$19)</f>
        <v>586</v>
      </c>
      <c r="N122">
        <f>IF(L122="","",MAX(Instellingen!$B$16,MIN(Instellingen!$B$17,L122+IF(M122="",0,M122))))</f>
        <v>586</v>
      </c>
      <c r="O122" t="str">
        <f>IF(N122="","",IF(N122&gt;=Instellingen!$B$22,"Absolute top",IF(N122&gt;=Instellingen!$B$23,"Kopman",IF(N122&gt;=Instellingen!$B$24,"Sterke keuze",IF(N122&gt;=Instellingen!$B$25,"Bruikbaar","Gok")))))</f>
        <v>Gok</v>
      </c>
      <c r="P122" t="str">
        <f>IF(A122="","",IF(D122="","Rol invullen","Compleet"))</f>
        <v>Compleet</v>
      </c>
      <c r="Q122" t="s">
        <v>343</v>
      </c>
    </row>
    <row r="123" spans="1:17">
      <c r="A123" t="s">
        <v>390</v>
      </c>
      <c r="B123" t="s">
        <v>105</v>
      </c>
      <c r="C123" t="s">
        <v>25</v>
      </c>
      <c r="D123" t="s">
        <v>26</v>
      </c>
      <c r="E123">
        <v>0</v>
      </c>
      <c r="F123">
        <v>274</v>
      </c>
      <c r="G123">
        <v>1</v>
      </c>
      <c r="H123">
        <v>1</v>
      </c>
      <c r="I123">
        <f>IF(D123="","",IFERROR(VLOOKUP(D123,Instellingen!$D$5:$E$13,2,FALSE),""))</f>
        <v>30</v>
      </c>
      <c r="J123">
        <f>IF(C123="","",IF(C123="Ja",100,0))</f>
        <v>100</v>
      </c>
      <c r="K123">
        <f>IF(D123="","",SUM(I123*Instellingen!$B$5,J123*Instellingen!$B$6,IFERROR(E123/MAX($E$6:$E$189)*100,0)*Instellingen!$B$7,IFERROR(F123/MAX($F$6:$F$189)*100,0)*Instellingen!$B$8,IFERROR(G123/MAX($G$6:$G$189)*100,0)*Instellingen!$B$9,IFERROR(H123/MAX($H$6:$H$189)*100,0)*Instellingen!$B$10)/SUM(Instellingen!$B$5:$B$10))</f>
        <v>14.984091556484703</v>
      </c>
      <c r="L123">
        <f>IF(K123="","",ROUND((Instellingen!$B$16+(Instellingen!$B$17-Instellingen!$B$16)*POWER(K123/100,Instellingen!$B$18))/Instellingen!$B$19,0)*Instellingen!$B$19)</f>
        <v>585</v>
      </c>
      <c r="N123">
        <f>IF(L123="","",MAX(Instellingen!$B$16,MIN(Instellingen!$B$17,L123+IF(M123="",0,M123))))</f>
        <v>585</v>
      </c>
      <c r="O123" t="str">
        <f>IF(N123="","",IF(N123&gt;=Instellingen!$B$22,"Absolute top",IF(N123&gt;=Instellingen!$B$23,"Kopman",IF(N123&gt;=Instellingen!$B$24,"Sterke keuze",IF(N123&gt;=Instellingen!$B$25,"Bruikbaar","Gok")))))</f>
        <v>Gok</v>
      </c>
      <c r="P123" t="str">
        <f>IF(A123="","",IF(D123="","Rol invullen","Compleet"))</f>
        <v>Compleet</v>
      </c>
      <c r="Q123" t="s">
        <v>391</v>
      </c>
    </row>
    <row r="124" spans="1:17">
      <c r="A124" t="s">
        <v>312</v>
      </c>
      <c r="B124" t="s">
        <v>45</v>
      </c>
      <c r="C124" t="s">
        <v>25</v>
      </c>
      <c r="D124" t="s">
        <v>26</v>
      </c>
      <c r="E124">
        <v>65</v>
      </c>
      <c r="F124">
        <v>27</v>
      </c>
      <c r="G124">
        <v>60</v>
      </c>
      <c r="H124">
        <v>2</v>
      </c>
      <c r="I124">
        <f>IF(D124="","",IFERROR(VLOOKUP(D124,Instellingen!$D$5:$E$13,2,FALSE),""))</f>
        <v>30</v>
      </c>
      <c r="J124">
        <f>IF(C124="","",IF(C124="Ja",100,0))</f>
        <v>100</v>
      </c>
      <c r="K124">
        <f>IF(D124="","",SUM(I124*Instellingen!$B$5,J124*Instellingen!$B$6,IFERROR(E124/MAX($E$6:$E$189)*100,0)*Instellingen!$B$7,IFERROR(F124/MAX($F$6:$F$189)*100,0)*Instellingen!$B$8,IFERROR(G124/MAX($G$6:$G$189)*100,0)*Instellingen!$B$9,IFERROR(H124/MAX($H$6:$H$189)*100,0)*Instellingen!$B$10)/SUM(Instellingen!$B$5:$B$10))</f>
        <v>14.896361874906679</v>
      </c>
      <c r="L124">
        <f>IF(K124="","",ROUND((Instellingen!$B$16+(Instellingen!$B$17-Instellingen!$B$16)*POWER(K124/100,Instellingen!$B$18))/Instellingen!$B$19,0)*Instellingen!$B$19)</f>
        <v>583</v>
      </c>
      <c r="N124">
        <f>IF(L124="","",MAX(Instellingen!$B$16,MIN(Instellingen!$B$17,L124+IF(M124="",0,M124))))</f>
        <v>583</v>
      </c>
      <c r="O124" t="str">
        <f>IF(N124="","",IF(N124&gt;=Instellingen!$B$22,"Absolute top",IF(N124&gt;=Instellingen!$B$23,"Kopman",IF(N124&gt;=Instellingen!$B$24,"Sterke keuze",IF(N124&gt;=Instellingen!$B$25,"Bruikbaar","Gok")))))</f>
        <v>Gok</v>
      </c>
      <c r="P124" t="str">
        <f>IF(A124="","",IF(D124="","Rol invullen","Compleet"))</f>
        <v>Compleet</v>
      </c>
      <c r="Q124" t="s">
        <v>313</v>
      </c>
    </row>
    <row r="125" spans="1:17">
      <c r="A125" t="s">
        <v>32</v>
      </c>
      <c r="B125" t="s">
        <v>29</v>
      </c>
      <c r="C125" t="s">
        <v>25</v>
      </c>
      <c r="D125" t="s">
        <v>26</v>
      </c>
      <c r="E125">
        <v>40</v>
      </c>
      <c r="F125">
        <v>94</v>
      </c>
      <c r="G125">
        <v>8</v>
      </c>
      <c r="H125">
        <v>30</v>
      </c>
      <c r="I125">
        <f>IF(D125="","",IFERROR(VLOOKUP(D125,Instellingen!$D$5:$E$13,2,FALSE),""))</f>
        <v>30</v>
      </c>
      <c r="J125">
        <f>IF(C125="","",IF(C125="Ja",100,0))</f>
        <v>100</v>
      </c>
      <c r="K125">
        <f>IF(D125="","",SUM(I125*Instellingen!$B$5,J125*Instellingen!$B$6,IFERROR(E125/MAX($E$6:$E$189)*100,0)*Instellingen!$B$7,IFERROR(F125/MAX($F$6:$F$189)*100,0)*Instellingen!$B$8,IFERROR(G125/MAX($G$6:$G$189)*100,0)*Instellingen!$B$9,IFERROR(H125/MAX($H$6:$H$189)*100,0)*Instellingen!$B$10)/SUM(Instellingen!$B$5:$B$10))</f>
        <v>14.862751490478452</v>
      </c>
      <c r="L125">
        <f>IF(K125="","",ROUND((Instellingen!$B$16+(Instellingen!$B$17-Instellingen!$B$16)*POWER(K125/100,Instellingen!$B$18))/Instellingen!$B$19,0)*Instellingen!$B$19)</f>
        <v>582</v>
      </c>
      <c r="N125">
        <f>IF(L125="","",MAX(Instellingen!$B$16,MIN(Instellingen!$B$17,L125+IF(M125="",0,M125))))</f>
        <v>582</v>
      </c>
      <c r="O125" t="str">
        <f>IF(N125="","",IF(N125&gt;=Instellingen!$B$22,"Absolute top",IF(N125&gt;=Instellingen!$B$23,"Kopman",IF(N125&gt;=Instellingen!$B$24,"Sterke keuze",IF(N125&gt;=Instellingen!$B$25,"Bruikbaar","Gok")))))</f>
        <v>Gok</v>
      </c>
      <c r="P125" t="str">
        <f>IF(A125="","",IF(D125="","Rol invullen","Compleet"))</f>
        <v>Compleet</v>
      </c>
      <c r="Q125" t="s">
        <v>33</v>
      </c>
    </row>
    <row r="126" spans="1:17">
      <c r="A126" t="s">
        <v>292</v>
      </c>
      <c r="B126" t="s">
        <v>38</v>
      </c>
      <c r="C126" t="s">
        <v>25</v>
      </c>
      <c r="D126" t="s">
        <v>26</v>
      </c>
      <c r="E126">
        <v>25</v>
      </c>
      <c r="F126">
        <v>78</v>
      </c>
      <c r="G126">
        <v>2</v>
      </c>
      <c r="H126">
        <v>137</v>
      </c>
      <c r="I126">
        <f>IF(D126="","",IFERROR(VLOOKUP(D126,Instellingen!$D$5:$E$13,2,FALSE),""))</f>
        <v>30</v>
      </c>
      <c r="J126">
        <f>IF(C126="","",IF(C126="Ja",100,0))</f>
        <v>100</v>
      </c>
      <c r="K126">
        <f>IF(D126="","",SUM(I126*Instellingen!$B$5,J126*Instellingen!$B$6,IFERROR(E126/MAX($E$6:$E$189)*100,0)*Instellingen!$B$7,IFERROR(F126/MAX($F$6:$F$189)*100,0)*Instellingen!$B$8,IFERROR(G126/MAX($G$6:$G$189)*100,0)*Instellingen!$B$9,IFERROR(H126/MAX($H$6:$H$189)*100,0)*Instellingen!$B$10)/SUM(Instellingen!$B$5:$B$10))</f>
        <v>14.849318689679153</v>
      </c>
      <c r="L126">
        <f>IF(K126="","",ROUND((Instellingen!$B$16+(Instellingen!$B$17-Instellingen!$B$16)*POWER(K126/100,Instellingen!$B$18))/Instellingen!$B$19,0)*Instellingen!$B$19)</f>
        <v>582</v>
      </c>
      <c r="N126">
        <f>IF(L126="","",MAX(Instellingen!$B$16,MIN(Instellingen!$B$17,L126+IF(M126="",0,M126))))</f>
        <v>582</v>
      </c>
      <c r="O126" t="str">
        <f>IF(N126="","",IF(N126&gt;=Instellingen!$B$22,"Absolute top",IF(N126&gt;=Instellingen!$B$23,"Kopman",IF(N126&gt;=Instellingen!$B$24,"Sterke keuze",IF(N126&gt;=Instellingen!$B$25,"Bruikbaar","Gok")))))</f>
        <v>Gok</v>
      </c>
      <c r="P126" t="str">
        <f>IF(A126="","",IF(D126="","Rol invullen","Compleet"))</f>
        <v>Compleet</v>
      </c>
      <c r="Q126" t="s">
        <v>293</v>
      </c>
    </row>
    <row r="127" spans="1:17">
      <c r="A127" t="s">
        <v>306</v>
      </c>
      <c r="B127" t="s">
        <v>45</v>
      </c>
      <c r="C127" t="s">
        <v>25</v>
      </c>
      <c r="D127" t="s">
        <v>26</v>
      </c>
      <c r="E127">
        <v>43</v>
      </c>
      <c r="F127">
        <v>36</v>
      </c>
      <c r="G127">
        <v>38</v>
      </c>
      <c r="H127">
        <v>48</v>
      </c>
      <c r="I127">
        <f>IF(D127="","",IFERROR(VLOOKUP(D127,Instellingen!$D$5:$E$13,2,FALSE),""))</f>
        <v>30</v>
      </c>
      <c r="J127">
        <f>IF(C127="","",IF(C127="Ja",100,0))</f>
        <v>100</v>
      </c>
      <c r="K127">
        <f>IF(D127="","",SUM(I127*Instellingen!$B$5,J127*Instellingen!$B$6,IFERROR(E127/MAX($E$6:$E$189)*100,0)*Instellingen!$B$7,IFERROR(F127/MAX($F$6:$F$189)*100,0)*Instellingen!$B$8,IFERROR(G127/MAX($G$6:$G$189)*100,0)*Instellingen!$B$9,IFERROR(H127/MAX($H$6:$H$189)*100,0)*Instellingen!$B$10)/SUM(Instellingen!$B$5:$B$10))</f>
        <v>14.828440036392896</v>
      </c>
      <c r="L127">
        <f>IF(K127="","",ROUND((Instellingen!$B$16+(Instellingen!$B$17-Instellingen!$B$16)*POWER(K127/100,Instellingen!$B$18))/Instellingen!$B$19,0)*Instellingen!$B$19)</f>
        <v>581</v>
      </c>
      <c r="N127">
        <f>IF(L127="","",MAX(Instellingen!$B$16,MIN(Instellingen!$B$17,L127+IF(M127="",0,M127))))</f>
        <v>581</v>
      </c>
      <c r="O127" t="str">
        <f>IF(N127="","",IF(N127&gt;=Instellingen!$B$22,"Absolute top",IF(N127&gt;=Instellingen!$B$23,"Kopman",IF(N127&gt;=Instellingen!$B$24,"Sterke keuze",IF(N127&gt;=Instellingen!$B$25,"Bruikbaar","Gok")))))</f>
        <v>Gok</v>
      </c>
      <c r="P127" t="str">
        <f>IF(A127="","",IF(D127="","Rol invullen","Compleet"))</f>
        <v>Compleet</v>
      </c>
      <c r="Q127" t="s">
        <v>307</v>
      </c>
    </row>
    <row r="128" spans="1:17">
      <c r="A128" t="s">
        <v>366</v>
      </c>
      <c r="B128" t="s">
        <v>218</v>
      </c>
      <c r="C128" t="s">
        <v>25</v>
      </c>
      <c r="D128" t="s">
        <v>26</v>
      </c>
      <c r="E128">
        <v>16</v>
      </c>
      <c r="F128">
        <v>96</v>
      </c>
      <c r="G128">
        <v>10</v>
      </c>
      <c r="H128">
        <v>92</v>
      </c>
      <c r="I128">
        <f>IF(D128="","",IFERROR(VLOOKUP(D128,Instellingen!$D$5:$E$13,2,FALSE),""))</f>
        <v>30</v>
      </c>
      <c r="J128">
        <f>IF(C128="","",IF(C128="Ja",100,0))</f>
        <v>100</v>
      </c>
      <c r="K128">
        <f>IF(D128="","",SUM(I128*Instellingen!$B$5,J128*Instellingen!$B$6,IFERROR(E128/MAX($E$6:$E$189)*100,0)*Instellingen!$B$7,IFERROR(F128/MAX($F$6:$F$189)*100,0)*Instellingen!$B$8,IFERROR(G128/MAX($G$6:$G$189)*100,0)*Instellingen!$B$9,IFERROR(H128/MAX($H$6:$H$189)*100,0)*Instellingen!$B$10)/SUM(Instellingen!$B$5:$B$10))</f>
        <v>14.820025116848855</v>
      </c>
      <c r="L128">
        <f>IF(K128="","",ROUND((Instellingen!$B$16+(Instellingen!$B$17-Instellingen!$B$16)*POWER(K128/100,Instellingen!$B$18))/Instellingen!$B$19,0)*Instellingen!$B$19)</f>
        <v>581</v>
      </c>
      <c r="N128">
        <f>IF(L128="","",MAX(Instellingen!$B$16,MIN(Instellingen!$B$17,L128+IF(M128="",0,M128))))</f>
        <v>581</v>
      </c>
      <c r="O128" t="str">
        <f>IF(N128="","",IF(N128&gt;=Instellingen!$B$22,"Absolute top",IF(N128&gt;=Instellingen!$B$23,"Kopman",IF(N128&gt;=Instellingen!$B$24,"Sterke keuze",IF(N128&gt;=Instellingen!$B$25,"Bruikbaar","Gok")))))</f>
        <v>Gok</v>
      </c>
      <c r="P128" t="str">
        <f>IF(A128="","",IF(D128="","Rol invullen","Compleet"))</f>
        <v>Compleet</v>
      </c>
      <c r="Q128" t="s">
        <v>367</v>
      </c>
    </row>
    <row r="129" spans="1:17">
      <c r="A129" t="s">
        <v>138</v>
      </c>
      <c r="B129" t="s">
        <v>128</v>
      </c>
      <c r="C129" t="s">
        <v>25</v>
      </c>
      <c r="D129" t="s">
        <v>26</v>
      </c>
      <c r="E129">
        <v>5</v>
      </c>
      <c r="F129">
        <v>63</v>
      </c>
      <c r="G129">
        <v>25</v>
      </c>
      <c r="H129">
        <v>44</v>
      </c>
      <c r="I129">
        <f>IF(D129="","",IFERROR(VLOOKUP(D129,Instellingen!$D$5:$E$13,2,FALSE),""))</f>
        <v>30</v>
      </c>
      <c r="J129">
        <f>IF(C129="","",IF(C129="Ja",100,0))</f>
        <v>100</v>
      </c>
      <c r="K129">
        <f>IF(D129="","",SUM(I129*Instellingen!$B$5,J129*Instellingen!$B$6,IFERROR(E129/MAX($E$6:$E$189)*100,0)*Instellingen!$B$7,IFERROR(F129/MAX($F$6:$F$189)*100,0)*Instellingen!$B$8,IFERROR(G129/MAX($G$6:$G$189)*100,0)*Instellingen!$B$9,IFERROR(H129/MAX($H$6:$H$189)*100,0)*Instellingen!$B$10)/SUM(Instellingen!$B$5:$B$10))</f>
        <v>14.700180936509195</v>
      </c>
      <c r="L129">
        <f>IF(K129="","",ROUND((Instellingen!$B$16+(Instellingen!$B$17-Instellingen!$B$16)*POWER(K129/100,Instellingen!$B$18))/Instellingen!$B$19,0)*Instellingen!$B$19)</f>
        <v>578</v>
      </c>
      <c r="N129">
        <f>IF(L129="","",MAX(Instellingen!$B$16,MIN(Instellingen!$B$17,L129+IF(M129="",0,M129))))</f>
        <v>578</v>
      </c>
      <c r="O129" t="str">
        <f>IF(N129="","",IF(N129&gt;=Instellingen!$B$22,"Absolute top",IF(N129&gt;=Instellingen!$B$23,"Kopman",IF(N129&gt;=Instellingen!$B$24,"Sterke keuze",IF(N129&gt;=Instellingen!$B$25,"Bruikbaar","Gok")))))</f>
        <v>Gok</v>
      </c>
      <c r="P129" t="str">
        <f>IF(A129="","",IF(D129="","Rol invullen","Compleet"))</f>
        <v>Compleet</v>
      </c>
      <c r="Q129" t="s">
        <v>139</v>
      </c>
    </row>
    <row r="130" spans="1:17">
      <c r="A130" t="s">
        <v>185</v>
      </c>
      <c r="B130" t="s">
        <v>175</v>
      </c>
      <c r="C130" t="s">
        <v>21</v>
      </c>
      <c r="D130" t="s">
        <v>30</v>
      </c>
      <c r="E130">
        <v>896</v>
      </c>
      <c r="F130">
        <v>699</v>
      </c>
      <c r="G130">
        <v>812</v>
      </c>
      <c r="H130">
        <v>29</v>
      </c>
      <c r="I130">
        <f>IF(D130="","",IFERROR(VLOOKUP(D130,Instellingen!$D$5:$E$13,2,FALSE),""))</f>
        <v>55</v>
      </c>
      <c r="J130">
        <f>IF(C130="","",IF(C130="Ja",100,0))</f>
        <v>0</v>
      </c>
      <c r="K130">
        <f>IF(D130="","",SUM(I130*Instellingen!$B$5,J130*Instellingen!$B$6,IFERROR(E130/MAX($E$6:$E$189)*100,0)*Instellingen!$B$7,IFERROR(F130/MAX($F$6:$F$189)*100,0)*Instellingen!$B$8,IFERROR(G130/MAX($G$6:$G$189)*100,0)*Instellingen!$B$9,IFERROR(H130/MAX($H$6:$H$189)*100,0)*Instellingen!$B$10)/SUM(Instellingen!$B$5:$B$10))</f>
        <v>14.268859970220513</v>
      </c>
      <c r="L130">
        <f>IF(K130="","",ROUND((Instellingen!$B$16+(Instellingen!$B$17-Instellingen!$B$16)*POWER(K130/100,Instellingen!$B$18))/Instellingen!$B$19,0)*Instellingen!$B$19)</f>
        <v>567</v>
      </c>
      <c r="N130">
        <f>IF(L130="","",MAX(Instellingen!$B$16,MIN(Instellingen!$B$17,L130+IF(M130="",0,M130))))</f>
        <v>567</v>
      </c>
      <c r="O130" t="str">
        <f>IF(N130="","",IF(N130&gt;=Instellingen!$B$22,"Absolute top",IF(N130&gt;=Instellingen!$B$23,"Kopman",IF(N130&gt;=Instellingen!$B$24,"Sterke keuze",IF(N130&gt;=Instellingen!$B$25,"Bruikbaar","Gok")))))</f>
        <v>Gok</v>
      </c>
      <c r="P130" t="str">
        <f>IF(A130="","",IF(D130="","Rol invullen","Compleet"))</f>
        <v>Compleet</v>
      </c>
      <c r="Q130" t="s">
        <v>186</v>
      </c>
    </row>
    <row r="131" spans="1:17">
      <c r="A131" t="s">
        <v>140</v>
      </c>
      <c r="B131" t="s">
        <v>128</v>
      </c>
      <c r="C131" t="s">
        <v>21</v>
      </c>
      <c r="D131" t="s">
        <v>30</v>
      </c>
      <c r="E131">
        <v>1032</v>
      </c>
      <c r="F131">
        <v>209</v>
      </c>
      <c r="G131">
        <v>728</v>
      </c>
      <c r="H131">
        <v>445</v>
      </c>
      <c r="I131">
        <f>IF(D131="","",IFERROR(VLOOKUP(D131,Instellingen!$D$5:$E$13,2,FALSE),""))</f>
        <v>55</v>
      </c>
      <c r="J131">
        <f>IF(C131="","",IF(C131="Ja",100,0))</f>
        <v>0</v>
      </c>
      <c r="K131">
        <f>IF(D131="","",SUM(I131*Instellingen!$B$5,J131*Instellingen!$B$6,IFERROR(E131/MAX($E$6:$E$189)*100,0)*Instellingen!$B$7,IFERROR(F131/MAX($F$6:$F$189)*100,0)*Instellingen!$B$8,IFERROR(G131/MAX($G$6:$G$189)*100,0)*Instellingen!$B$9,IFERROR(H131/MAX($H$6:$H$189)*100,0)*Instellingen!$B$10)/SUM(Instellingen!$B$5:$B$10))</f>
        <v>14.171583808586725</v>
      </c>
      <c r="L131">
        <f>IF(K131="","",ROUND((Instellingen!$B$16+(Instellingen!$B$17-Instellingen!$B$16)*POWER(K131/100,Instellingen!$B$18))/Instellingen!$B$19,0)*Instellingen!$B$19)</f>
        <v>565</v>
      </c>
      <c r="N131">
        <f>IF(L131="","",MAX(Instellingen!$B$16,MIN(Instellingen!$B$17,L131+IF(M131="",0,M131))))</f>
        <v>565</v>
      </c>
      <c r="O131" t="str">
        <f>IF(N131="","",IF(N131&gt;=Instellingen!$B$22,"Absolute top",IF(N131&gt;=Instellingen!$B$23,"Kopman",IF(N131&gt;=Instellingen!$B$24,"Sterke keuze",IF(N131&gt;=Instellingen!$B$25,"Bruikbaar","Gok")))))</f>
        <v>Gok</v>
      </c>
      <c r="P131" t="str">
        <f>IF(A131="","",IF(D131="","Rol invullen","Compleet"))</f>
        <v>Compleet</v>
      </c>
      <c r="Q131" t="s">
        <v>141</v>
      </c>
    </row>
    <row r="132" spans="1:17">
      <c r="A132" t="s">
        <v>194</v>
      </c>
      <c r="B132" t="s">
        <v>192</v>
      </c>
      <c r="C132" t="s">
        <v>21</v>
      </c>
      <c r="D132" t="s">
        <v>30</v>
      </c>
      <c r="E132">
        <v>624</v>
      </c>
      <c r="F132">
        <v>965</v>
      </c>
      <c r="G132">
        <v>1133</v>
      </c>
      <c r="H132">
        <v>9</v>
      </c>
      <c r="I132">
        <f>IF(D132="","",IFERROR(VLOOKUP(D132,Instellingen!$D$5:$E$13,2,FALSE),""))</f>
        <v>55</v>
      </c>
      <c r="J132">
        <f>IF(C132="","",IF(C132="Ja",100,0))</f>
        <v>0</v>
      </c>
      <c r="K132">
        <f>IF(D132="","",SUM(I132*Instellingen!$B$5,J132*Instellingen!$B$6,IFERROR(E132/MAX($E$6:$E$189)*100,0)*Instellingen!$B$7,IFERROR(F132/MAX($F$6:$F$189)*100,0)*Instellingen!$B$8,IFERROR(G132/MAX($G$6:$G$189)*100,0)*Instellingen!$B$9,IFERROR(H132/MAX($H$6:$H$189)*100,0)*Instellingen!$B$10)/SUM(Instellingen!$B$5:$B$10))</f>
        <v>14.056247917289099</v>
      </c>
      <c r="L132">
        <f>IF(K132="","",ROUND((Instellingen!$B$16+(Instellingen!$B$17-Instellingen!$B$16)*POWER(K132/100,Instellingen!$B$18))/Instellingen!$B$19,0)*Instellingen!$B$19)</f>
        <v>562</v>
      </c>
      <c r="N132">
        <f>IF(L132="","",MAX(Instellingen!$B$16,MIN(Instellingen!$B$17,L132+IF(M132="",0,M132))))</f>
        <v>562</v>
      </c>
      <c r="O132" t="str">
        <f>IF(N132="","",IF(N132&gt;=Instellingen!$B$22,"Absolute top",IF(N132&gt;=Instellingen!$B$23,"Kopman",IF(N132&gt;=Instellingen!$B$24,"Sterke keuze",IF(N132&gt;=Instellingen!$B$25,"Bruikbaar","Gok")))))</f>
        <v>Gok</v>
      </c>
      <c r="P132" t="str">
        <f>IF(A132="","",IF(D132="","Rol invullen","Compleet"))</f>
        <v>Compleet</v>
      </c>
      <c r="Q132" t="s">
        <v>195</v>
      </c>
    </row>
    <row r="133" spans="1:17">
      <c r="A133" t="s">
        <v>388</v>
      </c>
      <c r="B133" t="s">
        <v>105</v>
      </c>
      <c r="C133" t="s">
        <v>21</v>
      </c>
      <c r="D133" t="s">
        <v>30</v>
      </c>
      <c r="E133">
        <v>877</v>
      </c>
      <c r="F133">
        <v>482</v>
      </c>
      <c r="G133">
        <v>938</v>
      </c>
      <c r="H133">
        <v>53</v>
      </c>
      <c r="I133">
        <f>IF(D133="","",IFERROR(VLOOKUP(D133,Instellingen!$D$5:$E$13,2,FALSE),""))</f>
        <v>55</v>
      </c>
      <c r="J133">
        <f>IF(C133="","",IF(C133="Ja",100,0))</f>
        <v>0</v>
      </c>
      <c r="K133">
        <f>IF(D133="","",SUM(I133*Instellingen!$B$5,J133*Instellingen!$B$6,IFERROR(E133/MAX($E$6:$E$189)*100,0)*Instellingen!$B$7,IFERROR(F133/MAX($F$6:$F$189)*100,0)*Instellingen!$B$8,IFERROR(G133/MAX($G$6:$G$189)*100,0)*Instellingen!$B$9,IFERROR(H133/MAX($H$6:$H$189)*100,0)*Instellingen!$B$10)/SUM(Instellingen!$B$5:$B$10))</f>
        <v>14.002375175801976</v>
      </c>
      <c r="L133">
        <f>IF(K133="","",ROUND((Instellingen!$B$16+(Instellingen!$B$17-Instellingen!$B$16)*POWER(K133/100,Instellingen!$B$18))/Instellingen!$B$19,0)*Instellingen!$B$19)</f>
        <v>560</v>
      </c>
      <c r="N133">
        <f>IF(L133="","",MAX(Instellingen!$B$16,MIN(Instellingen!$B$17,L133+IF(M133="",0,M133))))</f>
        <v>560</v>
      </c>
      <c r="O133" t="str">
        <f>IF(N133="","",IF(N133&gt;=Instellingen!$B$22,"Absolute top",IF(N133&gt;=Instellingen!$B$23,"Kopman",IF(N133&gt;=Instellingen!$B$24,"Sterke keuze",IF(N133&gt;=Instellingen!$B$25,"Bruikbaar","Gok")))))</f>
        <v>Gok</v>
      </c>
      <c r="P133" t="str">
        <f>IF(A133="","",IF(D133="","Rol invullen","Compleet"))</f>
        <v>Compleet</v>
      </c>
      <c r="Q133" t="s">
        <v>389</v>
      </c>
    </row>
    <row r="134" spans="1:17">
      <c r="A134" t="s">
        <v>86</v>
      </c>
      <c r="B134" t="s">
        <v>73</v>
      </c>
      <c r="C134" t="s">
        <v>25</v>
      </c>
      <c r="D134" t="s">
        <v>87</v>
      </c>
      <c r="E134">
        <v>130</v>
      </c>
      <c r="F134">
        <v>136</v>
      </c>
      <c r="G134">
        <v>10</v>
      </c>
      <c r="H134">
        <v>56</v>
      </c>
      <c r="I134">
        <f>IF(D134="","",IFERROR(VLOOKUP(D134,Instellingen!$D$5:$E$13,2,FALSE),""))</f>
        <v>20</v>
      </c>
      <c r="J134">
        <f>IF(C134="","",IF(C134="Ja",100,0))</f>
        <v>100</v>
      </c>
      <c r="K134">
        <f>IF(D134="","",SUM(I134*Instellingen!$B$5,J134*Instellingen!$B$6,IFERROR(E134/MAX($E$6:$E$189)*100,0)*Instellingen!$B$7,IFERROR(F134/MAX($F$6:$F$189)*100,0)*Instellingen!$B$8,IFERROR(G134/MAX($G$6:$G$189)*100,0)*Instellingen!$B$9,IFERROR(H134/MAX($H$6:$H$189)*100,0)*Instellingen!$B$10)/SUM(Instellingen!$B$5:$B$10))</f>
        <v>13.82616572475701</v>
      </c>
      <c r="L134">
        <f>IF(K134="","",ROUND((Instellingen!$B$16+(Instellingen!$B$17-Instellingen!$B$16)*POWER(K134/100,Instellingen!$B$18))/Instellingen!$B$19,0)*Instellingen!$B$19)</f>
        <v>556</v>
      </c>
      <c r="N134">
        <f>IF(L134="","",MAX(Instellingen!$B$16,MIN(Instellingen!$B$17,L134+IF(M134="",0,M134))))</f>
        <v>556</v>
      </c>
      <c r="O134" t="str">
        <f>IF(N134="","",IF(N134&gt;=Instellingen!$B$22,"Absolute top",IF(N134&gt;=Instellingen!$B$23,"Kopman",IF(N134&gt;=Instellingen!$B$24,"Sterke keuze",IF(N134&gt;=Instellingen!$B$25,"Bruikbaar","Gok")))))</f>
        <v>Gok</v>
      </c>
      <c r="P134" t="str">
        <f>IF(A134="","",IF(D134="","Rol invullen","Compleet"))</f>
        <v>Compleet</v>
      </c>
      <c r="Q134" t="s">
        <v>88</v>
      </c>
    </row>
    <row r="135" spans="1:17">
      <c r="A135" t="s">
        <v>52</v>
      </c>
      <c r="B135" t="s">
        <v>50</v>
      </c>
      <c r="C135" t="s">
        <v>21</v>
      </c>
      <c r="D135" t="s">
        <v>30</v>
      </c>
      <c r="E135">
        <v>773</v>
      </c>
      <c r="F135">
        <v>677</v>
      </c>
      <c r="G135">
        <v>835</v>
      </c>
      <c r="H135">
        <v>66</v>
      </c>
      <c r="I135">
        <f>IF(D135="","",IFERROR(VLOOKUP(D135,Instellingen!$D$5:$E$13,2,FALSE),""))</f>
        <v>55</v>
      </c>
      <c r="J135">
        <f>IF(C135="","",IF(C135="Ja",100,0))</f>
        <v>0</v>
      </c>
      <c r="K135">
        <f>IF(D135="","",SUM(I135*Instellingen!$B$5,J135*Instellingen!$B$6,IFERROR(E135/MAX($E$6:$E$189)*100,0)*Instellingen!$B$7,IFERROR(F135/MAX($F$6:$F$189)*100,0)*Instellingen!$B$8,IFERROR(G135/MAX($G$6:$G$189)*100,0)*Instellingen!$B$9,IFERROR(H135/MAX($H$6:$H$189)*100,0)*Instellingen!$B$10)/SUM(Instellingen!$B$5:$B$10))</f>
        <v>13.790231573379387</v>
      </c>
      <c r="L135">
        <f>IF(K135="","",ROUND((Instellingen!$B$16+(Instellingen!$B$17-Instellingen!$B$16)*POWER(K135/100,Instellingen!$B$18))/Instellingen!$B$19,0)*Instellingen!$B$19)</f>
        <v>555</v>
      </c>
      <c r="N135">
        <f>IF(L135="","",MAX(Instellingen!$B$16,MIN(Instellingen!$B$17,L135+IF(M135="",0,M135))))</f>
        <v>555</v>
      </c>
      <c r="O135" t="str">
        <f>IF(N135="","",IF(N135&gt;=Instellingen!$B$22,"Absolute top",IF(N135&gt;=Instellingen!$B$23,"Kopman",IF(N135&gt;=Instellingen!$B$24,"Sterke keuze",IF(N135&gt;=Instellingen!$B$25,"Bruikbaar","Gok")))))</f>
        <v>Gok</v>
      </c>
      <c r="P135" t="str">
        <f>IF(A135="","",IF(D135="","Rol invullen","Compleet"))</f>
        <v>Compleet</v>
      </c>
      <c r="Q135" t="s">
        <v>53</v>
      </c>
    </row>
    <row r="136" spans="1:17">
      <c r="A136" t="s">
        <v>364</v>
      </c>
      <c r="B136" t="s">
        <v>218</v>
      </c>
      <c r="C136" t="s">
        <v>21</v>
      </c>
      <c r="D136" t="s">
        <v>30</v>
      </c>
      <c r="E136">
        <v>909</v>
      </c>
      <c r="F136">
        <v>396</v>
      </c>
      <c r="G136">
        <v>580</v>
      </c>
      <c r="H136">
        <v>397</v>
      </c>
      <c r="I136">
        <f>IF(D136="","",IFERROR(VLOOKUP(D136,Instellingen!$D$5:$E$13,2,FALSE),""))</f>
        <v>55</v>
      </c>
      <c r="J136">
        <f>IF(C136="","",IF(C136="Ja",100,0))</f>
        <v>0</v>
      </c>
      <c r="K136">
        <f>IF(D136="","",SUM(I136*Instellingen!$B$5,J136*Instellingen!$B$6,IFERROR(E136/MAX($E$6:$E$189)*100,0)*Instellingen!$B$7,IFERROR(F136/MAX($F$6:$F$189)*100,0)*Instellingen!$B$8,IFERROR(G136/MAX($G$6:$G$189)*100,0)*Instellingen!$B$9,IFERROR(H136/MAX($H$6:$H$189)*100,0)*Instellingen!$B$10)/SUM(Instellingen!$B$5:$B$10))</f>
        <v>13.758085941046897</v>
      </c>
      <c r="L136">
        <f>IF(K136="","",ROUND((Instellingen!$B$16+(Instellingen!$B$17-Instellingen!$B$16)*POWER(K136/100,Instellingen!$B$18))/Instellingen!$B$19,0)*Instellingen!$B$19)</f>
        <v>554</v>
      </c>
      <c r="N136">
        <f>IF(L136="","",MAX(Instellingen!$B$16,MIN(Instellingen!$B$17,L136+IF(M136="",0,M136))))</f>
        <v>554</v>
      </c>
      <c r="O136" t="str">
        <f>IF(N136="","",IF(N136&gt;=Instellingen!$B$22,"Absolute top",IF(N136&gt;=Instellingen!$B$23,"Kopman",IF(N136&gt;=Instellingen!$B$24,"Sterke keuze",IF(N136&gt;=Instellingen!$B$25,"Bruikbaar","Gok")))))</f>
        <v>Gok</v>
      </c>
      <c r="P136" t="str">
        <f>IF(A136="","",IF(D136="","Rol invullen","Compleet"))</f>
        <v>Compleet</v>
      </c>
      <c r="Q136" t="s">
        <v>365</v>
      </c>
    </row>
    <row r="137" spans="1:17">
      <c r="A137" t="s">
        <v>149</v>
      </c>
      <c r="B137" t="s">
        <v>145</v>
      </c>
      <c r="C137" t="s">
        <v>21</v>
      </c>
      <c r="D137" t="s">
        <v>30</v>
      </c>
      <c r="E137">
        <v>984</v>
      </c>
      <c r="F137">
        <v>283</v>
      </c>
      <c r="G137">
        <v>621</v>
      </c>
      <c r="H137">
        <v>74</v>
      </c>
      <c r="I137">
        <f>IF(D137="","",IFERROR(VLOOKUP(D137,Instellingen!$D$5:$E$13,2,FALSE),""))</f>
        <v>55</v>
      </c>
      <c r="J137">
        <f>IF(C137="","",IF(C137="Ja",100,0))</f>
        <v>0</v>
      </c>
      <c r="K137">
        <f>IF(D137="","",SUM(I137*Instellingen!$B$5,J137*Instellingen!$B$6,IFERROR(E137/MAX($E$6:$E$189)*100,0)*Instellingen!$B$7,IFERROR(F137/MAX($F$6:$F$189)*100,0)*Instellingen!$B$8,IFERROR(G137/MAX($G$6:$G$189)*100,0)*Instellingen!$B$9,IFERROR(H137/MAX($H$6:$H$189)*100,0)*Instellingen!$B$10)/SUM(Instellingen!$B$5:$B$10))</f>
        <v>13.66746215122186</v>
      </c>
      <c r="L137">
        <f>IF(K137="","",ROUND((Instellingen!$B$16+(Instellingen!$B$17-Instellingen!$B$16)*POWER(K137/100,Instellingen!$B$18))/Instellingen!$B$19,0)*Instellingen!$B$19)</f>
        <v>552</v>
      </c>
      <c r="N137">
        <f>IF(L137="","",MAX(Instellingen!$B$16,MIN(Instellingen!$B$17,L137+IF(M137="",0,M137))))</f>
        <v>552</v>
      </c>
      <c r="O137" t="str">
        <f>IF(N137="","",IF(N137&gt;=Instellingen!$B$22,"Absolute top",IF(N137&gt;=Instellingen!$B$23,"Kopman",IF(N137&gt;=Instellingen!$B$24,"Sterke keuze",IF(N137&gt;=Instellingen!$B$25,"Bruikbaar","Gok")))))</f>
        <v>Gok</v>
      </c>
      <c r="P137" t="str">
        <f>IF(A137="","",IF(D137="","Rol invullen","Compleet"))</f>
        <v>Compleet</v>
      </c>
      <c r="Q137" t="s">
        <v>150</v>
      </c>
    </row>
    <row r="138" spans="1:17">
      <c r="A138" t="s">
        <v>276</v>
      </c>
      <c r="B138" t="s">
        <v>264</v>
      </c>
      <c r="C138" t="s">
        <v>25</v>
      </c>
      <c r="D138" t="s">
        <v>87</v>
      </c>
      <c r="E138">
        <v>63</v>
      </c>
      <c r="F138">
        <v>60</v>
      </c>
      <c r="G138">
        <v>15</v>
      </c>
      <c r="H138">
        <v>34</v>
      </c>
      <c r="I138">
        <f>IF(D138="","",IFERROR(VLOOKUP(D138,Instellingen!$D$5:$E$13,2,FALSE),""))</f>
        <v>20</v>
      </c>
      <c r="J138">
        <f>IF(C138="","",IF(C138="Ja",100,0))</f>
        <v>100</v>
      </c>
      <c r="K138">
        <f>IF(D138="","",SUM(I138*Instellingen!$B$5,J138*Instellingen!$B$6,IFERROR(E138/MAX($E$6:$E$189)*100,0)*Instellingen!$B$7,IFERROR(F138/MAX($F$6:$F$189)*100,0)*Instellingen!$B$8,IFERROR(G138/MAX($G$6:$G$189)*100,0)*Instellingen!$B$9,IFERROR(H138/MAX($H$6:$H$189)*100,0)*Instellingen!$B$10)/SUM(Instellingen!$B$5:$B$10))</f>
        <v>13.409367318254894</v>
      </c>
      <c r="L138">
        <f>IF(K138="","",ROUND((Instellingen!$B$16+(Instellingen!$B$17-Instellingen!$B$16)*POWER(K138/100,Instellingen!$B$18))/Instellingen!$B$19,0)*Instellingen!$B$19)</f>
        <v>546</v>
      </c>
      <c r="N138">
        <f>IF(L138="","",MAX(Instellingen!$B$16,MIN(Instellingen!$B$17,L138+IF(M138="",0,M138))))</f>
        <v>546</v>
      </c>
      <c r="O138" t="str">
        <f>IF(N138="","",IF(N138&gt;=Instellingen!$B$22,"Absolute top",IF(N138&gt;=Instellingen!$B$23,"Kopman",IF(N138&gt;=Instellingen!$B$24,"Sterke keuze",IF(N138&gt;=Instellingen!$B$25,"Bruikbaar","Gok")))))</f>
        <v>Gok</v>
      </c>
      <c r="P138" t="str">
        <f>IF(A138="","",IF(D138="","Rol invullen","Compleet"))</f>
        <v>Compleet</v>
      </c>
      <c r="Q138" t="s">
        <v>277</v>
      </c>
    </row>
    <row r="139" spans="1:17">
      <c r="A139" t="s">
        <v>127</v>
      </c>
      <c r="B139" t="s">
        <v>128</v>
      </c>
      <c r="C139" t="s">
        <v>21</v>
      </c>
      <c r="D139" t="s">
        <v>30</v>
      </c>
      <c r="E139">
        <v>1020</v>
      </c>
      <c r="F139">
        <v>134</v>
      </c>
      <c r="G139">
        <v>491</v>
      </c>
      <c r="H139">
        <v>4</v>
      </c>
      <c r="I139">
        <f>IF(D139="","",IFERROR(VLOOKUP(D139,Instellingen!$D$5:$E$13,2,FALSE),""))</f>
        <v>55</v>
      </c>
      <c r="J139">
        <f>IF(C139="","",IF(C139="Ja",100,0))</f>
        <v>0</v>
      </c>
      <c r="K139">
        <f>IF(D139="","",SUM(I139*Instellingen!$B$5,J139*Instellingen!$B$6,IFERROR(E139/MAX($E$6:$E$189)*100,0)*Instellingen!$B$7,IFERROR(F139/MAX($F$6:$F$189)*100,0)*Instellingen!$B$8,IFERROR(G139/MAX($G$6:$G$189)*100,0)*Instellingen!$B$9,IFERROR(H139/MAX($H$6:$H$189)*100,0)*Instellingen!$B$10)/SUM(Instellingen!$B$5:$B$10))</f>
        <v>13.317763101069342</v>
      </c>
      <c r="L139">
        <f>IF(K139="","",ROUND((Instellingen!$B$16+(Instellingen!$B$17-Instellingen!$B$16)*POWER(K139/100,Instellingen!$B$18))/Instellingen!$B$19,0)*Instellingen!$B$19)</f>
        <v>543</v>
      </c>
      <c r="N139">
        <f>IF(L139="","",MAX(Instellingen!$B$16,MIN(Instellingen!$B$17,L139+IF(M139="",0,M139))))</f>
        <v>543</v>
      </c>
      <c r="O139" t="str">
        <f>IF(N139="","",IF(N139&gt;=Instellingen!$B$22,"Absolute top",IF(N139&gt;=Instellingen!$B$23,"Kopman",IF(N139&gt;=Instellingen!$B$24,"Sterke keuze",IF(N139&gt;=Instellingen!$B$25,"Bruikbaar","Gok")))))</f>
        <v>Gok</v>
      </c>
      <c r="P139" t="str">
        <f>IF(A139="","",IF(D139="","Rol invullen","Compleet"))</f>
        <v>Compleet</v>
      </c>
      <c r="Q139" t="s">
        <v>129</v>
      </c>
    </row>
    <row r="140" spans="1:17">
      <c r="A140" t="s">
        <v>136</v>
      </c>
      <c r="B140" t="s">
        <v>128</v>
      </c>
      <c r="C140" t="s">
        <v>21</v>
      </c>
      <c r="D140" t="s">
        <v>30</v>
      </c>
      <c r="E140">
        <v>755</v>
      </c>
      <c r="F140">
        <v>514</v>
      </c>
      <c r="G140">
        <v>96</v>
      </c>
      <c r="H140">
        <v>1158</v>
      </c>
      <c r="I140">
        <f>IF(D140="","",IFERROR(VLOOKUP(D140,Instellingen!$D$5:$E$13,2,FALSE),""))</f>
        <v>55</v>
      </c>
      <c r="J140">
        <f>IF(C140="","",IF(C140="Ja",100,0))</f>
        <v>0</v>
      </c>
      <c r="K140">
        <f>IF(D140="","",SUM(I140*Instellingen!$B$5,J140*Instellingen!$B$6,IFERROR(E140/MAX($E$6:$E$189)*100,0)*Instellingen!$B$7,IFERROR(F140/MAX($F$6:$F$189)*100,0)*Instellingen!$B$8,IFERROR(G140/MAX($G$6:$G$189)*100,0)*Instellingen!$B$9,IFERROR(H140/MAX($H$6:$H$189)*100,0)*Instellingen!$B$10)/SUM(Instellingen!$B$5:$B$10))</f>
        <v>13.269291270623926</v>
      </c>
      <c r="L140">
        <f>IF(K140="","",ROUND((Instellingen!$B$16+(Instellingen!$B$17-Instellingen!$B$16)*POWER(K140/100,Instellingen!$B$18))/Instellingen!$B$19,0)*Instellingen!$B$19)</f>
        <v>542</v>
      </c>
      <c r="N140">
        <f>IF(L140="","",MAX(Instellingen!$B$16,MIN(Instellingen!$B$17,L140+IF(M140="",0,M140))))</f>
        <v>542</v>
      </c>
      <c r="O140" t="str">
        <f>IF(N140="","",IF(N140&gt;=Instellingen!$B$22,"Absolute top",IF(N140&gt;=Instellingen!$B$23,"Kopman",IF(N140&gt;=Instellingen!$B$24,"Sterke keuze",IF(N140&gt;=Instellingen!$B$25,"Bruikbaar","Gok")))))</f>
        <v>Gok</v>
      </c>
      <c r="P140" t="str">
        <f>IF(A140="","",IF(D140="","Rol invullen","Compleet"))</f>
        <v>Compleet</v>
      </c>
      <c r="Q140" t="s">
        <v>137</v>
      </c>
    </row>
    <row r="141" spans="1:17">
      <c r="A141" t="s">
        <v>151</v>
      </c>
      <c r="B141" t="s">
        <v>145</v>
      </c>
      <c r="C141" t="s">
        <v>25</v>
      </c>
      <c r="D141" t="s">
        <v>87</v>
      </c>
      <c r="E141">
        <v>15</v>
      </c>
      <c r="F141">
        <v>56</v>
      </c>
      <c r="G141">
        <v>55</v>
      </c>
      <c r="H141">
        <v>0</v>
      </c>
      <c r="I141">
        <f>IF(D141="","",IFERROR(VLOOKUP(D141,Instellingen!$D$5:$E$13,2,FALSE),""))</f>
        <v>20</v>
      </c>
      <c r="J141">
        <f>IF(C141="","",IF(C141="Ja",100,0))</f>
        <v>100</v>
      </c>
      <c r="K141">
        <f>IF(D141="","",SUM(I141*Instellingen!$B$5,J141*Instellingen!$B$6,IFERROR(E141/MAX($E$6:$E$189)*100,0)*Instellingen!$B$7,IFERROR(F141/MAX($F$6:$F$189)*100,0)*Instellingen!$B$8,IFERROR(G141/MAX($G$6:$G$189)*100,0)*Instellingen!$B$9,IFERROR(H141/MAX($H$6:$H$189)*100,0)*Instellingen!$B$10)/SUM(Instellingen!$B$5:$B$10))</f>
        <v>13.235370155891934</v>
      </c>
      <c r="L141">
        <f>IF(K141="","",ROUND((Instellingen!$B$16+(Instellingen!$B$17-Instellingen!$B$16)*POWER(K141/100,Instellingen!$B$18))/Instellingen!$B$19,0)*Instellingen!$B$19)</f>
        <v>541</v>
      </c>
      <c r="N141">
        <f>IF(L141="","",MAX(Instellingen!$B$16,MIN(Instellingen!$B$17,L141+IF(M141="",0,M141))))</f>
        <v>541</v>
      </c>
      <c r="O141" t="str">
        <f>IF(N141="","",IF(N141&gt;=Instellingen!$B$22,"Absolute top",IF(N141&gt;=Instellingen!$B$23,"Kopman",IF(N141&gt;=Instellingen!$B$24,"Sterke keuze",IF(N141&gt;=Instellingen!$B$25,"Bruikbaar","Gok")))))</f>
        <v>Gok</v>
      </c>
      <c r="P141" t="str">
        <f>IF(A141="","",IF(D141="","Rol invullen","Compleet"))</f>
        <v>Compleet</v>
      </c>
      <c r="Q141" t="s">
        <v>152</v>
      </c>
    </row>
    <row r="142" spans="1:17">
      <c r="A142" t="s">
        <v>157</v>
      </c>
      <c r="B142" t="s">
        <v>145</v>
      </c>
      <c r="C142" t="s">
        <v>25</v>
      </c>
      <c r="D142" t="s">
        <v>87</v>
      </c>
      <c r="E142">
        <v>27</v>
      </c>
      <c r="F142">
        <v>17</v>
      </c>
      <c r="G142">
        <v>28</v>
      </c>
      <c r="H142">
        <v>0</v>
      </c>
      <c r="I142">
        <f>IF(D142="","",IFERROR(VLOOKUP(D142,Instellingen!$D$5:$E$13,2,FALSE),""))</f>
        <v>20</v>
      </c>
      <c r="J142">
        <f>IF(C142="","",IF(C142="Ja",100,0))</f>
        <v>100</v>
      </c>
      <c r="K142">
        <f>IF(D142="","",SUM(I142*Instellingen!$B$5,J142*Instellingen!$B$6,IFERROR(E142/MAX($E$6:$E$189)*100,0)*Instellingen!$B$7,IFERROR(F142/MAX($F$6:$F$189)*100,0)*Instellingen!$B$8,IFERROR(G142/MAX($G$6:$G$189)*100,0)*Instellingen!$B$9,IFERROR(H142/MAX($H$6:$H$189)*100,0)*Instellingen!$B$10)/SUM(Instellingen!$B$5:$B$10))</f>
        <v>13.178405751975356</v>
      </c>
      <c r="L142">
        <f>IF(K142="","",ROUND((Instellingen!$B$16+(Instellingen!$B$17-Instellingen!$B$16)*POWER(K142/100,Instellingen!$B$18))/Instellingen!$B$19,0)*Instellingen!$B$19)</f>
        <v>540</v>
      </c>
      <c r="N142">
        <f>IF(L142="","",MAX(Instellingen!$B$16,MIN(Instellingen!$B$17,L142+IF(M142="",0,M142))))</f>
        <v>540</v>
      </c>
      <c r="O142" t="str">
        <f>IF(N142="","",IF(N142&gt;=Instellingen!$B$22,"Absolute top",IF(N142&gt;=Instellingen!$B$23,"Kopman",IF(N142&gt;=Instellingen!$B$24,"Sterke keuze",IF(N142&gt;=Instellingen!$B$25,"Bruikbaar","Gok")))))</f>
        <v>Gok</v>
      </c>
      <c r="P142" t="str">
        <f>IF(A142="","",IF(D142="","Rol invullen","Compleet"))</f>
        <v>Compleet</v>
      </c>
      <c r="Q142" t="s">
        <v>158</v>
      </c>
    </row>
    <row r="143" spans="1:17">
      <c r="A143" t="s">
        <v>322</v>
      </c>
      <c r="B143" t="s">
        <v>50</v>
      </c>
      <c r="C143" t="s">
        <v>21</v>
      </c>
      <c r="D143" t="s">
        <v>30</v>
      </c>
      <c r="E143">
        <v>812</v>
      </c>
      <c r="F143">
        <v>286</v>
      </c>
      <c r="G143">
        <v>556</v>
      </c>
      <c r="H143">
        <v>88</v>
      </c>
      <c r="I143">
        <f>IF(D143="","",IFERROR(VLOOKUP(D143,Instellingen!$D$5:$E$13,2,FALSE),""))</f>
        <v>55</v>
      </c>
      <c r="J143">
        <f>IF(C143="","",IF(C143="Ja",100,0))</f>
        <v>0</v>
      </c>
      <c r="K143">
        <f>IF(D143="","",SUM(I143*Instellingen!$B$5,J143*Instellingen!$B$6,IFERROR(E143/MAX($E$6:$E$189)*100,0)*Instellingen!$B$7,IFERROR(F143/MAX($F$6:$F$189)*100,0)*Instellingen!$B$8,IFERROR(G143/MAX($G$6:$G$189)*100,0)*Instellingen!$B$9,IFERROR(H143/MAX($H$6:$H$189)*100,0)*Instellingen!$B$10)/SUM(Instellingen!$B$5:$B$10))</f>
        <v>12.893974318775964</v>
      </c>
      <c r="L143">
        <f>IF(K143="","",ROUND((Instellingen!$B$16+(Instellingen!$B$17-Instellingen!$B$16)*POWER(K143/100,Instellingen!$B$18))/Instellingen!$B$19,0)*Instellingen!$B$19)</f>
        <v>533</v>
      </c>
      <c r="N143">
        <f>IF(L143="","",MAX(Instellingen!$B$16,MIN(Instellingen!$B$17,L143+IF(M143="",0,M143))))</f>
        <v>533</v>
      </c>
      <c r="O143" t="str">
        <f>IF(N143="","",IF(N143&gt;=Instellingen!$B$22,"Absolute top",IF(N143&gt;=Instellingen!$B$23,"Kopman",IF(N143&gt;=Instellingen!$B$24,"Sterke keuze",IF(N143&gt;=Instellingen!$B$25,"Bruikbaar","Gok")))))</f>
        <v>Gok</v>
      </c>
      <c r="P143" t="str">
        <f>IF(A143="","",IF(D143="","Rol invullen","Compleet"))</f>
        <v>Compleet</v>
      </c>
      <c r="Q143" t="s">
        <v>323</v>
      </c>
    </row>
    <row r="144" spans="1:17">
      <c r="A144" t="s">
        <v>231</v>
      </c>
      <c r="B144" t="s">
        <v>223</v>
      </c>
      <c r="C144" t="s">
        <v>21</v>
      </c>
      <c r="D144" t="s">
        <v>30</v>
      </c>
      <c r="E144">
        <v>711</v>
      </c>
      <c r="F144">
        <v>345</v>
      </c>
      <c r="G144">
        <v>602</v>
      </c>
      <c r="H144">
        <v>68</v>
      </c>
      <c r="I144">
        <f>IF(D144="","",IFERROR(VLOOKUP(D144,Instellingen!$D$5:$E$13,2,FALSE),""))</f>
        <v>55</v>
      </c>
      <c r="J144">
        <f>IF(C144="","",IF(C144="Ja",100,0))</f>
        <v>0</v>
      </c>
      <c r="K144">
        <f>IF(D144="","",SUM(I144*Instellingen!$B$5,J144*Instellingen!$B$6,IFERROR(E144/MAX($E$6:$E$189)*100,0)*Instellingen!$B$7,IFERROR(F144/MAX($F$6:$F$189)*100,0)*Instellingen!$B$8,IFERROR(G144/MAX($G$6:$G$189)*100,0)*Instellingen!$B$9,IFERROR(H144/MAX($H$6:$H$189)*100,0)*Instellingen!$B$10)/SUM(Instellingen!$B$5:$B$10))</f>
        <v>12.634303958671637</v>
      </c>
      <c r="L144">
        <f>IF(K144="","",ROUND((Instellingen!$B$16+(Instellingen!$B$17-Instellingen!$B$16)*POWER(K144/100,Instellingen!$B$18))/Instellingen!$B$19,0)*Instellingen!$B$19)</f>
        <v>527</v>
      </c>
      <c r="N144">
        <f>IF(L144="","",MAX(Instellingen!$B$16,MIN(Instellingen!$B$17,L144+IF(M144="",0,M144))))</f>
        <v>527</v>
      </c>
      <c r="O144" t="str">
        <f>IF(N144="","",IF(N144&gt;=Instellingen!$B$22,"Absolute top",IF(N144&gt;=Instellingen!$B$23,"Kopman",IF(N144&gt;=Instellingen!$B$24,"Sterke keuze",IF(N144&gt;=Instellingen!$B$25,"Bruikbaar","Gok")))))</f>
        <v>Gok</v>
      </c>
      <c r="P144" t="str">
        <f>IF(A144="","",IF(D144="","Rol invullen","Compleet"))</f>
        <v>Compleet</v>
      </c>
      <c r="Q144" t="s">
        <v>232</v>
      </c>
    </row>
    <row r="145" spans="1:17">
      <c r="A145" t="s">
        <v>358</v>
      </c>
      <c r="B145" t="s">
        <v>218</v>
      </c>
      <c r="C145" t="s">
        <v>21</v>
      </c>
      <c r="D145" t="s">
        <v>30</v>
      </c>
      <c r="E145">
        <v>645</v>
      </c>
      <c r="F145">
        <v>98</v>
      </c>
      <c r="G145">
        <v>328</v>
      </c>
      <c r="H145">
        <v>801</v>
      </c>
      <c r="I145">
        <f>IF(D145="","",IFERROR(VLOOKUP(D145,Instellingen!$D$5:$E$13,2,FALSE),""))</f>
        <v>55</v>
      </c>
      <c r="J145">
        <f>IF(C145="","",IF(C145="Ja",100,0))</f>
        <v>0</v>
      </c>
      <c r="K145">
        <f>IF(D145="","",SUM(I145*Instellingen!$B$5,J145*Instellingen!$B$6,IFERROR(E145/MAX($E$6:$E$189)*100,0)*Instellingen!$B$7,IFERROR(F145/MAX($F$6:$F$189)*100,0)*Instellingen!$B$8,IFERROR(G145/MAX($G$6:$G$189)*100,0)*Instellingen!$B$9,IFERROR(H145/MAX($H$6:$H$189)*100,0)*Instellingen!$B$10)/SUM(Instellingen!$B$5:$B$10))</f>
        <v>12.129225152431436</v>
      </c>
      <c r="L145">
        <f>IF(K145="","",ROUND((Instellingen!$B$16+(Instellingen!$B$17-Instellingen!$B$16)*POWER(K145/100,Instellingen!$B$18))/Instellingen!$B$19,0)*Instellingen!$B$19)</f>
        <v>514</v>
      </c>
      <c r="N145">
        <f>IF(L145="","",MAX(Instellingen!$B$16,MIN(Instellingen!$B$17,L145+IF(M145="",0,M145))))</f>
        <v>514</v>
      </c>
      <c r="O145" t="str">
        <f>IF(N145="","",IF(N145&gt;=Instellingen!$B$22,"Absolute top",IF(N145&gt;=Instellingen!$B$23,"Kopman",IF(N145&gt;=Instellingen!$B$24,"Sterke keuze",IF(N145&gt;=Instellingen!$B$25,"Bruikbaar","Gok")))))</f>
        <v>Gok</v>
      </c>
      <c r="P145" t="str">
        <f>IF(A145="","",IF(D145="","Rol invullen","Compleet"))</f>
        <v>Compleet</v>
      </c>
      <c r="Q145" t="s">
        <v>359</v>
      </c>
    </row>
    <row r="146" spans="1:17">
      <c r="A146" t="s">
        <v>198</v>
      </c>
      <c r="B146" t="s">
        <v>192</v>
      </c>
      <c r="C146" t="s">
        <v>21</v>
      </c>
      <c r="D146" t="s">
        <v>30</v>
      </c>
      <c r="E146">
        <v>436</v>
      </c>
      <c r="F146">
        <v>776</v>
      </c>
      <c r="G146">
        <v>139</v>
      </c>
      <c r="H146">
        <v>142</v>
      </c>
      <c r="I146">
        <f>IF(D146="","",IFERROR(VLOOKUP(D146,Instellingen!$D$5:$E$13,2,FALSE),""))</f>
        <v>55</v>
      </c>
      <c r="J146">
        <f>IF(C146="","",IF(C146="Ja",100,0))</f>
        <v>0</v>
      </c>
      <c r="K146">
        <f>IF(D146="","",SUM(I146*Instellingen!$B$5,J146*Instellingen!$B$6,IFERROR(E146/MAX($E$6:$E$189)*100,0)*Instellingen!$B$7,IFERROR(F146/MAX($F$6:$F$189)*100,0)*Instellingen!$B$8,IFERROR(G146/MAX($G$6:$G$189)*100,0)*Instellingen!$B$9,IFERROR(H146/MAX($H$6:$H$189)*100,0)*Instellingen!$B$10)/SUM(Instellingen!$B$5:$B$10))</f>
        <v>11.692837728582607</v>
      </c>
      <c r="L146">
        <f>IF(K146="","",ROUND((Instellingen!$B$16+(Instellingen!$B$17-Instellingen!$B$16)*POWER(K146/100,Instellingen!$B$18))/Instellingen!$B$19,0)*Instellingen!$B$19)</f>
        <v>504</v>
      </c>
      <c r="N146">
        <f>IF(L146="","",MAX(Instellingen!$B$16,MIN(Instellingen!$B$17,L146+IF(M146="",0,M146))))</f>
        <v>504</v>
      </c>
      <c r="O146" t="str">
        <f>IF(N146="","",IF(N146&gt;=Instellingen!$B$22,"Absolute top",IF(N146&gt;=Instellingen!$B$23,"Kopman",IF(N146&gt;=Instellingen!$B$24,"Sterke keuze",IF(N146&gt;=Instellingen!$B$25,"Bruikbaar","Gok")))))</f>
        <v>Gok</v>
      </c>
      <c r="P146" t="str">
        <f>IF(A146="","",IF(D146="","Rol invullen","Compleet"))</f>
        <v>Compleet</v>
      </c>
      <c r="Q146" t="s">
        <v>199</v>
      </c>
    </row>
    <row r="147" spans="1:17">
      <c r="A147" t="s">
        <v>416</v>
      </c>
      <c r="B147" t="s">
        <v>57</v>
      </c>
      <c r="C147" t="s">
        <v>21</v>
      </c>
      <c r="D147" t="s">
        <v>30</v>
      </c>
      <c r="E147">
        <v>352</v>
      </c>
      <c r="F147">
        <v>870</v>
      </c>
      <c r="G147">
        <v>141</v>
      </c>
      <c r="H147">
        <v>268</v>
      </c>
      <c r="I147">
        <f>IF(D147="","",IFERROR(VLOOKUP(D147,Instellingen!$D$5:$E$13,2,FALSE),""))</f>
        <v>55</v>
      </c>
      <c r="J147">
        <f>IF(C147="","",IF(C147="Ja",100,0))</f>
        <v>0</v>
      </c>
      <c r="K147">
        <f>IF(D147="","",SUM(I147*Instellingen!$B$5,J147*Instellingen!$B$6,IFERROR(E147/MAX($E$6:$E$189)*100,0)*Instellingen!$B$7,IFERROR(F147/MAX($F$6:$F$189)*100,0)*Instellingen!$B$8,IFERROR(G147/MAX($G$6:$G$189)*100,0)*Instellingen!$B$9,IFERROR(H147/MAX($H$6:$H$189)*100,0)*Instellingen!$B$10)/SUM(Instellingen!$B$5:$B$10))</f>
        <v>11.617950695235573</v>
      </c>
      <c r="L147">
        <f>IF(K147="","",ROUND((Instellingen!$B$16+(Instellingen!$B$17-Instellingen!$B$16)*POWER(K147/100,Instellingen!$B$18))/Instellingen!$B$19,0)*Instellingen!$B$19)</f>
        <v>502</v>
      </c>
      <c r="N147">
        <f>IF(L147="","",MAX(Instellingen!$B$16,MIN(Instellingen!$B$17,L147+IF(M147="",0,M147))))</f>
        <v>502</v>
      </c>
      <c r="O147" t="str">
        <f>IF(N147="","",IF(N147&gt;=Instellingen!$B$22,"Absolute top",IF(N147&gt;=Instellingen!$B$23,"Kopman",IF(N147&gt;=Instellingen!$B$24,"Sterke keuze",IF(N147&gt;=Instellingen!$B$25,"Bruikbaar","Gok")))))</f>
        <v>Gok</v>
      </c>
      <c r="P147" t="str">
        <f>IF(A147="","",IF(D147="","Rol invullen","Compleet"))</f>
        <v>Compleet</v>
      </c>
      <c r="Q147" t="s">
        <v>417</v>
      </c>
    </row>
    <row r="148" spans="1:17">
      <c r="A148" t="s">
        <v>314</v>
      </c>
      <c r="B148" t="s">
        <v>50</v>
      </c>
      <c r="C148" t="s">
        <v>21</v>
      </c>
      <c r="D148" t="s">
        <v>30</v>
      </c>
      <c r="E148">
        <v>415</v>
      </c>
      <c r="F148">
        <v>828</v>
      </c>
      <c r="G148">
        <v>88</v>
      </c>
      <c r="H148">
        <v>4</v>
      </c>
      <c r="I148">
        <f>IF(D148="","",IFERROR(VLOOKUP(D148,Instellingen!$D$5:$E$13,2,FALSE),""))</f>
        <v>55</v>
      </c>
      <c r="J148">
        <f>IF(C148="","",IF(C148="Ja",100,0))</f>
        <v>0</v>
      </c>
      <c r="K148">
        <f>IF(D148="","",SUM(I148*Instellingen!$B$5,J148*Instellingen!$B$6,IFERROR(E148/MAX($E$6:$E$189)*100,0)*Instellingen!$B$7,IFERROR(F148/MAX($F$6:$F$189)*100,0)*Instellingen!$B$8,IFERROR(G148/MAX($G$6:$G$189)*100,0)*Instellingen!$B$9,IFERROR(H148/MAX($H$6:$H$189)*100,0)*Instellingen!$B$10)/SUM(Instellingen!$B$5:$B$10))</f>
        <v>11.520125575320582</v>
      </c>
      <c r="L148">
        <f>IF(K148="","",ROUND((Instellingen!$B$16+(Instellingen!$B$17-Instellingen!$B$16)*POWER(K148/100,Instellingen!$B$18))/Instellingen!$B$19,0)*Instellingen!$B$19)</f>
        <v>500</v>
      </c>
      <c r="N148">
        <f>IF(L148="","",MAX(Instellingen!$B$16,MIN(Instellingen!$B$17,L148+IF(M148="",0,M148))))</f>
        <v>500</v>
      </c>
      <c r="O148" t="str">
        <f>IF(N148="","",IF(N148&gt;=Instellingen!$B$22,"Absolute top",IF(N148&gt;=Instellingen!$B$23,"Kopman",IF(N148&gt;=Instellingen!$B$24,"Sterke keuze",IF(N148&gt;=Instellingen!$B$25,"Bruikbaar","Gok")))))</f>
        <v>Gok</v>
      </c>
      <c r="P148" t="str">
        <f>IF(A148="","",IF(D148="","Rol invullen","Compleet"))</f>
        <v>Compleet</v>
      </c>
      <c r="Q148" t="s">
        <v>315</v>
      </c>
    </row>
    <row r="149" spans="1:17">
      <c r="A149" t="s">
        <v>187</v>
      </c>
      <c r="B149" t="s">
        <v>175</v>
      </c>
      <c r="C149" t="s">
        <v>21</v>
      </c>
      <c r="D149" t="s">
        <v>30</v>
      </c>
      <c r="E149">
        <v>259</v>
      </c>
      <c r="F149">
        <v>247</v>
      </c>
      <c r="G149">
        <v>74</v>
      </c>
      <c r="H149">
        <v>970</v>
      </c>
      <c r="I149">
        <f>IF(D149="","",IFERROR(VLOOKUP(D149,Instellingen!$D$5:$E$13,2,FALSE),""))</f>
        <v>55</v>
      </c>
      <c r="J149">
        <f>IF(C149="","",IF(C149="Ja",100,0))</f>
        <v>0</v>
      </c>
      <c r="K149">
        <f>IF(D149="","",SUM(I149*Instellingen!$B$5,J149*Instellingen!$B$6,IFERROR(E149/MAX($E$6:$E$189)*100,0)*Instellingen!$B$7,IFERROR(F149/MAX($F$6:$F$189)*100,0)*Instellingen!$B$8,IFERROR(G149/MAX($G$6:$G$189)*100,0)*Instellingen!$B$9,IFERROR(H149/MAX($H$6:$H$189)*100,0)*Instellingen!$B$10)/SUM(Instellingen!$B$5:$B$10))</f>
        <v>10.602616629660368</v>
      </c>
      <c r="L149">
        <f>IF(K149="","",ROUND((Instellingen!$B$16+(Instellingen!$B$17-Instellingen!$B$16)*POWER(K149/100,Instellingen!$B$18))/Instellingen!$B$19,0)*Instellingen!$B$19)</f>
        <v>479</v>
      </c>
      <c r="N149">
        <f>IF(L149="","",MAX(Instellingen!$B$16,MIN(Instellingen!$B$17,L149+IF(M149="",0,M149))))</f>
        <v>479</v>
      </c>
      <c r="O149" t="str">
        <f>IF(N149="","",IF(N149&gt;=Instellingen!$B$22,"Absolute top",IF(N149&gt;=Instellingen!$B$23,"Kopman",IF(N149&gt;=Instellingen!$B$24,"Sterke keuze",IF(N149&gt;=Instellingen!$B$25,"Bruikbaar","Gok")))))</f>
        <v>Gok</v>
      </c>
      <c r="P149" t="str">
        <f>IF(A149="","",IF(D149="","Rol invullen","Compleet"))</f>
        <v>Compleet</v>
      </c>
      <c r="Q149" t="s">
        <v>188</v>
      </c>
    </row>
    <row r="150" spans="1:17">
      <c r="A150" t="s">
        <v>284</v>
      </c>
      <c r="B150" t="s">
        <v>20</v>
      </c>
      <c r="C150" t="s">
        <v>21</v>
      </c>
      <c r="D150" t="s">
        <v>65</v>
      </c>
      <c r="E150">
        <v>501</v>
      </c>
      <c r="F150">
        <v>662</v>
      </c>
      <c r="G150">
        <v>340</v>
      </c>
      <c r="H150">
        <v>76</v>
      </c>
      <c r="I150">
        <f>IF(D150="","",IFERROR(VLOOKUP(D150,Instellingen!$D$5:$E$13,2,FALSE),""))</f>
        <v>45</v>
      </c>
      <c r="J150">
        <f>IF(C150="","",IF(C150="Ja",100,0))</f>
        <v>0</v>
      </c>
      <c r="K150">
        <f>IF(D150="","",SUM(I150*Instellingen!$B$5,J150*Instellingen!$B$6,IFERROR(E150/MAX($E$6:$E$189)*100,0)*Instellingen!$B$7,IFERROR(F150/MAX($F$6:$F$189)*100,0)*Instellingen!$B$8,IFERROR(G150/MAX($G$6:$G$189)*100,0)*Instellingen!$B$9,IFERROR(H150/MAX($H$6:$H$189)*100,0)*Instellingen!$B$10)/SUM(Instellingen!$B$5:$B$10))</f>
        <v>10.482149227977409</v>
      </c>
      <c r="L150">
        <f>IF(K150="","",ROUND((Instellingen!$B$16+(Instellingen!$B$17-Instellingen!$B$16)*POWER(K150/100,Instellingen!$B$18))/Instellingen!$B$19,0)*Instellingen!$B$19)</f>
        <v>476</v>
      </c>
      <c r="N150">
        <f>IF(L150="","",MAX(Instellingen!$B$16,MIN(Instellingen!$B$17,L150+IF(M150="",0,M150))))</f>
        <v>476</v>
      </c>
      <c r="O150" t="str">
        <f>IF(N150="","",IF(N150&gt;=Instellingen!$B$22,"Absolute top",IF(N150&gt;=Instellingen!$B$23,"Kopman",IF(N150&gt;=Instellingen!$B$24,"Sterke keuze",IF(N150&gt;=Instellingen!$B$25,"Bruikbaar","Gok")))))</f>
        <v>Gok</v>
      </c>
      <c r="P150" t="str">
        <f>IF(A150="","",IF(D150="","Rol invullen","Compleet"))</f>
        <v>Compleet</v>
      </c>
      <c r="Q150" t="s">
        <v>285</v>
      </c>
    </row>
    <row r="151" spans="1:17">
      <c r="A151" t="s">
        <v>79</v>
      </c>
      <c r="B151" t="s">
        <v>73</v>
      </c>
      <c r="C151" t="s">
        <v>21</v>
      </c>
      <c r="D151" t="s">
        <v>30</v>
      </c>
      <c r="E151">
        <v>76</v>
      </c>
      <c r="F151">
        <v>848</v>
      </c>
      <c r="G151">
        <v>76</v>
      </c>
      <c r="H151">
        <v>8</v>
      </c>
      <c r="I151">
        <f>IF(D151="","",IFERROR(VLOOKUP(D151,Instellingen!$D$5:$E$13,2,FALSE),""))</f>
        <v>55</v>
      </c>
      <c r="J151">
        <f>IF(C151="","",IF(C151="Ja",100,0))</f>
        <v>0</v>
      </c>
      <c r="K151">
        <f>IF(D151="","",SUM(I151*Instellingen!$B$5,J151*Instellingen!$B$6,IFERROR(E151/MAX($E$6:$E$189)*100,0)*Instellingen!$B$7,IFERROR(F151/MAX($F$6:$F$189)*100,0)*Instellingen!$B$8,IFERROR(G151/MAX($G$6:$G$189)*100,0)*Instellingen!$B$9,IFERROR(H151/MAX($H$6:$H$189)*100,0)*Instellingen!$B$10)/SUM(Instellingen!$B$5:$B$10))</f>
        <v>10.161931307181321</v>
      </c>
      <c r="L151">
        <f>IF(K151="","",ROUND((Instellingen!$B$16+(Instellingen!$B$17-Instellingen!$B$16)*POWER(K151/100,Instellingen!$B$18))/Instellingen!$B$19,0)*Instellingen!$B$19)</f>
        <v>469</v>
      </c>
      <c r="N151">
        <f>IF(L151="","",MAX(Instellingen!$B$16,MIN(Instellingen!$B$17,L151+IF(M151="",0,M151))))</f>
        <v>469</v>
      </c>
      <c r="O151" t="str">
        <f>IF(N151="","",IF(N151&gt;=Instellingen!$B$22,"Absolute top",IF(N151&gt;=Instellingen!$B$23,"Kopman",IF(N151&gt;=Instellingen!$B$24,"Sterke keuze",IF(N151&gt;=Instellingen!$B$25,"Bruikbaar","Gok")))))</f>
        <v>Gok</v>
      </c>
      <c r="P151" t="str">
        <f>IF(A151="","",IF(D151="","Rol invullen","Compleet"))</f>
        <v>Compleet</v>
      </c>
      <c r="Q151" t="s">
        <v>80</v>
      </c>
    </row>
    <row r="152" spans="1:17">
      <c r="A152" t="s">
        <v>28</v>
      </c>
      <c r="B152" t="s">
        <v>29</v>
      </c>
      <c r="C152" t="s">
        <v>21</v>
      </c>
      <c r="D152" t="s">
        <v>30</v>
      </c>
      <c r="E152">
        <v>65</v>
      </c>
      <c r="F152">
        <v>793</v>
      </c>
      <c r="G152">
        <v>158</v>
      </c>
      <c r="H152">
        <v>2</v>
      </c>
      <c r="I152">
        <f>IF(D152="","",IFERROR(VLOOKUP(D152,Instellingen!$D$5:$E$13,2,FALSE),""))</f>
        <v>55</v>
      </c>
      <c r="J152">
        <f>IF(C152="","",IF(C152="Ja",100,0))</f>
        <v>0</v>
      </c>
      <c r="K152">
        <f>IF(D152="","",SUM(I152*Instellingen!$B$5,J152*Instellingen!$B$6,IFERROR(E152/MAX($E$6:$E$189)*100,0)*Instellingen!$B$7,IFERROR(F152/MAX($F$6:$F$189)*100,0)*Instellingen!$B$8,IFERROR(G152/MAX($G$6:$G$189)*100,0)*Instellingen!$B$9,IFERROR(H152/MAX($H$6:$H$189)*100,0)*Instellingen!$B$10)/SUM(Instellingen!$B$5:$B$10))</f>
        <v>10.128734295189068</v>
      </c>
      <c r="L152">
        <f>IF(K152="","",ROUND((Instellingen!$B$16+(Instellingen!$B$17-Instellingen!$B$16)*POWER(K152/100,Instellingen!$B$18))/Instellingen!$B$19,0)*Instellingen!$B$19)</f>
        <v>468</v>
      </c>
      <c r="N152">
        <f>IF(L152="","",MAX(Instellingen!$B$16,MIN(Instellingen!$B$17,L152+IF(M152="",0,M152))))</f>
        <v>468</v>
      </c>
      <c r="O152" t="str">
        <f>IF(N152="","",IF(N152&gt;=Instellingen!$B$22,"Absolute top",IF(N152&gt;=Instellingen!$B$23,"Kopman",IF(N152&gt;=Instellingen!$B$24,"Sterke keuze",IF(N152&gt;=Instellingen!$B$25,"Bruikbaar","Gok")))))</f>
        <v>Gok</v>
      </c>
      <c r="P152" t="str">
        <f>IF(A152="","",IF(D152="","Rol invullen","Compleet"))</f>
        <v>Compleet</v>
      </c>
      <c r="Q152" t="s">
        <v>31</v>
      </c>
    </row>
    <row r="153" spans="1:17">
      <c r="A153" t="s">
        <v>249</v>
      </c>
      <c r="B153" t="s">
        <v>247</v>
      </c>
      <c r="C153" t="s">
        <v>21</v>
      </c>
      <c r="D153" t="s">
        <v>26</v>
      </c>
      <c r="E153">
        <v>789</v>
      </c>
      <c r="F153">
        <v>440</v>
      </c>
      <c r="G153">
        <v>690</v>
      </c>
      <c r="H153">
        <v>0</v>
      </c>
      <c r="I153">
        <f>IF(D153="","",IFERROR(VLOOKUP(D153,Instellingen!$D$5:$E$13,2,FALSE),""))</f>
        <v>30</v>
      </c>
      <c r="J153">
        <f>IF(C153="","",IF(C153="Ja",100,0))</f>
        <v>0</v>
      </c>
      <c r="K153">
        <f>IF(D153="","",SUM(I153*Instellingen!$B$5,J153*Instellingen!$B$6,IFERROR(E153/MAX($E$6:$E$189)*100,0)*Instellingen!$B$7,IFERROR(F153/MAX($F$6:$F$189)*100,0)*Instellingen!$B$8,IFERROR(G153/MAX($G$6:$G$189)*100,0)*Instellingen!$B$9,IFERROR(H153/MAX($H$6:$H$189)*100,0)*Instellingen!$B$10)/SUM(Instellingen!$B$5:$B$10))</f>
        <v>9.4368038820524625</v>
      </c>
      <c r="L153">
        <f>IF(K153="","",ROUND((Instellingen!$B$16+(Instellingen!$B$17-Instellingen!$B$16)*POWER(K153/100,Instellingen!$B$18))/Instellingen!$B$19,0)*Instellingen!$B$19)</f>
        <v>453</v>
      </c>
      <c r="N153">
        <f>IF(L153="","",MAX(Instellingen!$B$16,MIN(Instellingen!$B$17,L153+IF(M153="",0,M153))))</f>
        <v>453</v>
      </c>
      <c r="O153" t="str">
        <f>IF(N153="","",IF(N153&gt;=Instellingen!$B$22,"Absolute top",IF(N153&gt;=Instellingen!$B$23,"Kopman",IF(N153&gt;=Instellingen!$B$24,"Sterke keuze",IF(N153&gt;=Instellingen!$B$25,"Bruikbaar","Gok")))))</f>
        <v>Gok</v>
      </c>
      <c r="P153" t="str">
        <f>IF(A153="","",IF(D153="","Rol invullen","Compleet"))</f>
        <v>Compleet</v>
      </c>
      <c r="Q153" t="s">
        <v>250</v>
      </c>
    </row>
    <row r="154" spans="1:17">
      <c r="A154" t="s">
        <v>324</v>
      </c>
      <c r="B154" t="s">
        <v>62</v>
      </c>
      <c r="C154" t="s">
        <v>21</v>
      </c>
      <c r="D154" t="s">
        <v>26</v>
      </c>
      <c r="E154">
        <v>822</v>
      </c>
      <c r="F154">
        <v>339</v>
      </c>
      <c r="G154">
        <v>432</v>
      </c>
      <c r="H154">
        <v>43</v>
      </c>
      <c r="I154">
        <f>IF(D154="","",IFERROR(VLOOKUP(D154,Instellingen!$D$5:$E$13,2,FALSE),""))</f>
        <v>30</v>
      </c>
      <c r="J154">
        <f>IF(C154="","",IF(C154="Ja",100,0))</f>
        <v>0</v>
      </c>
      <c r="K154">
        <f>IF(D154="","",SUM(I154*Instellingen!$B$5,J154*Instellingen!$B$6,IFERROR(E154/MAX($E$6:$E$189)*100,0)*Instellingen!$B$7,IFERROR(F154/MAX($F$6:$F$189)*100,0)*Instellingen!$B$8,IFERROR(G154/MAX($G$6:$G$189)*100,0)*Instellingen!$B$9,IFERROR(H154/MAX($H$6:$H$189)*100,0)*Instellingen!$B$10)/SUM(Instellingen!$B$5:$B$10))</f>
        <v>9.0716325761797609</v>
      </c>
      <c r="L154">
        <f>IF(K154="","",ROUND((Instellingen!$B$16+(Instellingen!$B$17-Instellingen!$B$16)*POWER(K154/100,Instellingen!$B$18))/Instellingen!$B$19,0)*Instellingen!$B$19)</f>
        <v>445</v>
      </c>
      <c r="N154">
        <f>IF(L154="","",MAX(Instellingen!$B$16,MIN(Instellingen!$B$17,L154+IF(M154="",0,M154))))</f>
        <v>445</v>
      </c>
      <c r="O154" t="str">
        <f>IF(N154="","",IF(N154&gt;=Instellingen!$B$22,"Absolute top",IF(N154&gt;=Instellingen!$B$23,"Kopman",IF(N154&gt;=Instellingen!$B$24,"Sterke keuze",IF(N154&gt;=Instellingen!$B$25,"Bruikbaar","Gok")))))</f>
        <v>Gok</v>
      </c>
      <c r="P154" t="str">
        <f>IF(A154="","",IF(D154="","Rol invullen","Compleet"))</f>
        <v>Compleet</v>
      </c>
      <c r="Q154" t="s">
        <v>325</v>
      </c>
    </row>
    <row r="155" spans="1:17">
      <c r="A155" t="s">
        <v>372</v>
      </c>
      <c r="B155" t="s">
        <v>29</v>
      </c>
      <c r="C155" t="s">
        <v>21</v>
      </c>
      <c r="D155" t="s">
        <v>65</v>
      </c>
      <c r="E155">
        <v>70</v>
      </c>
      <c r="F155">
        <v>683</v>
      </c>
      <c r="G155">
        <v>84</v>
      </c>
      <c r="H155">
        <v>132</v>
      </c>
      <c r="I155">
        <f>IF(D155="","",IFERROR(VLOOKUP(D155,Instellingen!$D$5:$E$13,2,FALSE),""))</f>
        <v>45</v>
      </c>
      <c r="J155">
        <f>IF(C155="","",IF(C155="Ja",100,0))</f>
        <v>0</v>
      </c>
      <c r="K155">
        <f>IF(D155="","",SUM(I155*Instellingen!$B$5,J155*Instellingen!$B$6,IFERROR(E155/MAX($E$6:$E$189)*100,0)*Instellingen!$B$7,IFERROR(F155/MAX($F$6:$F$189)*100,0)*Instellingen!$B$8,IFERROR(G155/MAX($G$6:$G$189)*100,0)*Instellingen!$B$9,IFERROR(H155/MAX($H$6:$H$189)*100,0)*Instellingen!$B$10)/SUM(Instellingen!$B$5:$B$10))</f>
        <v>8.4557148615843687</v>
      </c>
      <c r="L155">
        <f>IF(K155="","",ROUND((Instellingen!$B$16+(Instellingen!$B$17-Instellingen!$B$16)*POWER(K155/100,Instellingen!$B$18))/Instellingen!$B$19,0)*Instellingen!$B$19)</f>
        <v>432</v>
      </c>
      <c r="N155">
        <f>IF(L155="","",MAX(Instellingen!$B$16,MIN(Instellingen!$B$17,L155+IF(M155="",0,M155))))</f>
        <v>432</v>
      </c>
      <c r="O155" t="str">
        <f>IF(N155="","",IF(N155&gt;=Instellingen!$B$22,"Absolute top",IF(N155&gt;=Instellingen!$B$23,"Kopman",IF(N155&gt;=Instellingen!$B$24,"Sterke keuze",IF(N155&gt;=Instellingen!$B$25,"Bruikbaar","Gok")))))</f>
        <v>Gok</v>
      </c>
      <c r="P155" t="str">
        <f>IF(A155="","",IF(D155="","Rol invullen","Compleet"))</f>
        <v>Compleet</v>
      </c>
      <c r="Q155" t="s">
        <v>373</v>
      </c>
    </row>
    <row r="156" spans="1:17">
      <c r="A156" t="s">
        <v>47</v>
      </c>
      <c r="B156" t="s">
        <v>45</v>
      </c>
      <c r="C156" t="s">
        <v>21</v>
      </c>
      <c r="D156" t="s">
        <v>26</v>
      </c>
      <c r="E156">
        <v>668</v>
      </c>
      <c r="F156">
        <v>212</v>
      </c>
      <c r="G156">
        <v>505</v>
      </c>
      <c r="H156">
        <v>121</v>
      </c>
      <c r="I156">
        <f>IF(D156="","",IFERROR(VLOOKUP(D156,Instellingen!$D$5:$E$13,2,FALSE),""))</f>
        <v>30</v>
      </c>
      <c r="J156">
        <f>IF(C156="","",IF(C156="Ja",100,0))</f>
        <v>0</v>
      </c>
      <c r="K156">
        <f>IF(D156="","",SUM(I156*Instellingen!$B$5,J156*Instellingen!$B$6,IFERROR(E156/MAX($E$6:$E$189)*100,0)*Instellingen!$B$7,IFERROR(F156/MAX($F$6:$F$189)*100,0)*Instellingen!$B$8,IFERROR(G156/MAX($G$6:$G$189)*100,0)*Instellingen!$B$9,IFERROR(H156/MAX($H$6:$H$189)*100,0)*Instellingen!$B$10)/SUM(Instellingen!$B$5:$B$10))</f>
        <v>8.3832551935345503</v>
      </c>
      <c r="L156">
        <f>IF(K156="","",ROUND((Instellingen!$B$16+(Instellingen!$B$17-Instellingen!$B$16)*POWER(K156/100,Instellingen!$B$18))/Instellingen!$B$19,0)*Instellingen!$B$19)</f>
        <v>430</v>
      </c>
      <c r="N156">
        <f>IF(L156="","",MAX(Instellingen!$B$16,MIN(Instellingen!$B$17,L156+IF(M156="",0,M156))))</f>
        <v>430</v>
      </c>
      <c r="O156" t="str">
        <f>IF(N156="","",IF(N156&gt;=Instellingen!$B$22,"Absolute top",IF(N156&gt;=Instellingen!$B$23,"Kopman",IF(N156&gt;=Instellingen!$B$24,"Sterke keuze",IF(N156&gt;=Instellingen!$B$25,"Bruikbaar","Gok")))))</f>
        <v>Gok</v>
      </c>
      <c r="P156" t="str">
        <f>IF(A156="","",IF(D156="","Rol invullen","Compleet"))</f>
        <v>Compleet</v>
      </c>
      <c r="Q156" t="s">
        <v>48</v>
      </c>
    </row>
    <row r="157" spans="1:17">
      <c r="A157" t="s">
        <v>64</v>
      </c>
      <c r="B157" t="s">
        <v>62</v>
      </c>
      <c r="C157" t="s">
        <v>21</v>
      </c>
      <c r="D157" t="s">
        <v>65</v>
      </c>
      <c r="E157">
        <v>111</v>
      </c>
      <c r="F157">
        <v>431</v>
      </c>
      <c r="G157">
        <v>2</v>
      </c>
      <c r="H157">
        <v>518</v>
      </c>
      <c r="I157">
        <f>IF(D157="","",IFERROR(VLOOKUP(D157,Instellingen!$D$5:$E$13,2,FALSE),""))</f>
        <v>45</v>
      </c>
      <c r="J157">
        <f>IF(C157="","",IF(C157="Ja",100,0))</f>
        <v>0</v>
      </c>
      <c r="K157">
        <f>IF(D157="","",SUM(I157*Instellingen!$B$5,J157*Instellingen!$B$6,IFERROR(E157/MAX($E$6:$E$189)*100,0)*Instellingen!$B$7,IFERROR(F157/MAX($F$6:$F$189)*100,0)*Instellingen!$B$8,IFERROR(G157/MAX($G$6:$G$189)*100,0)*Instellingen!$B$9,IFERROR(H157/MAX($H$6:$H$189)*100,0)*Instellingen!$B$10)/SUM(Instellingen!$B$5:$B$10))</f>
        <v>8.3695237695755189</v>
      </c>
      <c r="L157">
        <f>IF(K157="","",ROUND((Instellingen!$B$16+(Instellingen!$B$17-Instellingen!$B$16)*POWER(K157/100,Instellingen!$B$18))/Instellingen!$B$19,0)*Instellingen!$B$19)</f>
        <v>430</v>
      </c>
      <c r="N157">
        <f>IF(L157="","",MAX(Instellingen!$B$16,MIN(Instellingen!$B$17,L157+IF(M157="",0,M157))))</f>
        <v>430</v>
      </c>
      <c r="O157" t="str">
        <f>IF(N157="","",IF(N157&gt;=Instellingen!$B$22,"Absolute top",IF(N157&gt;=Instellingen!$B$23,"Kopman",IF(N157&gt;=Instellingen!$B$24,"Sterke keuze",IF(N157&gt;=Instellingen!$B$25,"Bruikbaar","Gok")))))</f>
        <v>Gok</v>
      </c>
      <c r="P157" t="str">
        <f>IF(A157="","",IF(D157="","Rol invullen","Compleet"))</f>
        <v>Compleet</v>
      </c>
      <c r="Q157" t="s">
        <v>66</v>
      </c>
    </row>
    <row r="158" spans="1:17">
      <c r="A158" t="s">
        <v>77</v>
      </c>
      <c r="B158" t="s">
        <v>73</v>
      </c>
      <c r="C158" t="s">
        <v>21</v>
      </c>
      <c r="D158" t="s">
        <v>65</v>
      </c>
      <c r="E158">
        <v>184</v>
      </c>
      <c r="F158">
        <v>419</v>
      </c>
      <c r="G158">
        <v>64</v>
      </c>
      <c r="H158">
        <v>2</v>
      </c>
      <c r="I158">
        <f>IF(D158="","",IFERROR(VLOOKUP(D158,Instellingen!$D$5:$E$13,2,FALSE),""))</f>
        <v>45</v>
      </c>
      <c r="J158">
        <f>IF(C158="","",IF(C158="Ja",100,0))</f>
        <v>0</v>
      </c>
      <c r="K158">
        <f>IF(D158="","",SUM(I158*Instellingen!$B$5,J158*Instellingen!$B$6,IFERROR(E158/MAX($E$6:$E$189)*100,0)*Instellingen!$B$7,IFERROR(F158/MAX($F$6:$F$189)*100,0)*Instellingen!$B$8,IFERROR(G158/MAX($G$6:$G$189)*100,0)*Instellingen!$B$9,IFERROR(H158/MAX($H$6:$H$189)*100,0)*Instellingen!$B$10)/SUM(Instellingen!$B$5:$B$10))</f>
        <v>8.3257637688231689</v>
      </c>
      <c r="L158">
        <f>IF(K158="","",ROUND((Instellingen!$B$16+(Instellingen!$B$17-Instellingen!$B$16)*POWER(K158/100,Instellingen!$B$18))/Instellingen!$B$19,0)*Instellingen!$B$19)</f>
        <v>429</v>
      </c>
      <c r="N158">
        <f>IF(L158="","",MAX(Instellingen!$B$16,MIN(Instellingen!$B$17,L158+IF(M158="",0,M158))))</f>
        <v>429</v>
      </c>
      <c r="O158" t="str">
        <f>IF(N158="","",IF(N158&gt;=Instellingen!$B$22,"Absolute top",IF(N158&gt;=Instellingen!$B$23,"Kopman",IF(N158&gt;=Instellingen!$B$24,"Sterke keuze",IF(N158&gt;=Instellingen!$B$25,"Bruikbaar","Gok")))))</f>
        <v>Gok</v>
      </c>
      <c r="P158" t="str">
        <f>IF(A158="","",IF(D158="","Rol invullen","Compleet"))</f>
        <v>Compleet</v>
      </c>
      <c r="Q158" t="s">
        <v>78</v>
      </c>
    </row>
    <row r="159" spans="1:17">
      <c r="A159" t="s">
        <v>330</v>
      </c>
      <c r="B159" t="s">
        <v>62</v>
      </c>
      <c r="C159" t="s">
        <v>21</v>
      </c>
      <c r="D159" t="s">
        <v>26</v>
      </c>
      <c r="E159">
        <v>609</v>
      </c>
      <c r="F159">
        <v>509</v>
      </c>
      <c r="G159">
        <v>247</v>
      </c>
      <c r="H159">
        <v>75</v>
      </c>
      <c r="I159">
        <f>IF(D159="","",IFERROR(VLOOKUP(D159,Instellingen!$D$5:$E$13,2,FALSE),""))</f>
        <v>30</v>
      </c>
      <c r="J159">
        <f>IF(C159="","",IF(C159="Ja",100,0))</f>
        <v>0</v>
      </c>
      <c r="K159">
        <f>IF(D159="","",SUM(I159*Instellingen!$B$5,J159*Instellingen!$B$6,IFERROR(E159/MAX($E$6:$E$189)*100,0)*Instellingen!$B$7,IFERROR(F159/MAX($F$6:$F$189)*100,0)*Instellingen!$B$8,IFERROR(G159/MAX($G$6:$G$189)*100,0)*Instellingen!$B$9,IFERROR(H159/MAX($H$6:$H$189)*100,0)*Instellingen!$B$10)/SUM(Instellingen!$B$5:$B$10))</f>
        <v>8.2737019639630702</v>
      </c>
      <c r="L159">
        <f>IF(K159="","",ROUND((Instellingen!$B$16+(Instellingen!$B$17-Instellingen!$B$16)*POWER(K159/100,Instellingen!$B$18))/Instellingen!$B$19,0)*Instellingen!$B$19)</f>
        <v>428</v>
      </c>
      <c r="N159">
        <f>IF(L159="","",MAX(Instellingen!$B$16,MIN(Instellingen!$B$17,L159+IF(M159="",0,M159))))</f>
        <v>428</v>
      </c>
      <c r="O159" t="str">
        <f>IF(N159="","",IF(N159&gt;=Instellingen!$B$22,"Absolute top",IF(N159&gt;=Instellingen!$B$23,"Kopman",IF(N159&gt;=Instellingen!$B$24,"Sterke keuze",IF(N159&gt;=Instellingen!$B$25,"Bruikbaar","Gok")))))</f>
        <v>Gok</v>
      </c>
      <c r="P159" t="str">
        <f>IF(A159="","",IF(D159="","Rol invullen","Compleet"))</f>
        <v>Compleet</v>
      </c>
      <c r="Q159" t="s">
        <v>331</v>
      </c>
    </row>
    <row r="160" spans="1:17">
      <c r="A160" t="s">
        <v>404</v>
      </c>
      <c r="B160" t="s">
        <v>240</v>
      </c>
      <c r="C160" t="s">
        <v>21</v>
      </c>
      <c r="D160" t="s">
        <v>65</v>
      </c>
      <c r="E160">
        <v>111</v>
      </c>
      <c r="F160">
        <v>358</v>
      </c>
      <c r="G160">
        <v>126</v>
      </c>
      <c r="H160">
        <v>5</v>
      </c>
      <c r="I160">
        <f>IF(D160="","",IFERROR(VLOOKUP(D160,Instellingen!$D$5:$E$13,2,FALSE),""))</f>
        <v>45</v>
      </c>
      <c r="J160">
        <f>IF(C160="","",IF(C160="Ja",100,0))</f>
        <v>0</v>
      </c>
      <c r="K160">
        <f>IF(D160="","",SUM(I160*Instellingen!$B$5,J160*Instellingen!$B$6,IFERROR(E160/MAX($E$6:$E$189)*100,0)*Instellingen!$B$7,IFERROR(F160/MAX($F$6:$F$189)*100,0)*Instellingen!$B$8,IFERROR(G160/MAX($G$6:$G$189)*100,0)*Instellingen!$B$9,IFERROR(H160/MAX($H$6:$H$189)*100,0)*Instellingen!$B$10)/SUM(Instellingen!$B$5:$B$10))</f>
        <v>8.0091296612028984</v>
      </c>
      <c r="L160">
        <f>IF(K160="","",ROUND((Instellingen!$B$16+(Instellingen!$B$17-Instellingen!$B$16)*POWER(K160/100,Instellingen!$B$18))/Instellingen!$B$19,0)*Instellingen!$B$19)</f>
        <v>422</v>
      </c>
      <c r="N160">
        <f>IF(L160="","",MAX(Instellingen!$B$16,MIN(Instellingen!$B$17,L160+IF(M160="",0,M160))))</f>
        <v>422</v>
      </c>
      <c r="O160" t="str">
        <f>IF(N160="","",IF(N160&gt;=Instellingen!$B$22,"Absolute top",IF(N160&gt;=Instellingen!$B$23,"Kopman",IF(N160&gt;=Instellingen!$B$24,"Sterke keuze",IF(N160&gt;=Instellingen!$B$25,"Bruikbaar","Gok")))))</f>
        <v>Gok</v>
      </c>
      <c r="P160" t="str">
        <f>IF(A160="","",IF(D160="","Rol invullen","Compleet"))</f>
        <v>Compleet</v>
      </c>
      <c r="Q160" t="s">
        <v>405</v>
      </c>
    </row>
    <row r="161" spans="1:17">
      <c r="A161" t="s">
        <v>268</v>
      </c>
      <c r="B161" t="s">
        <v>264</v>
      </c>
      <c r="C161" t="s">
        <v>21</v>
      </c>
      <c r="D161" t="s">
        <v>65</v>
      </c>
      <c r="E161">
        <v>35</v>
      </c>
      <c r="F161">
        <v>496</v>
      </c>
      <c r="G161">
        <v>12</v>
      </c>
      <c r="H161">
        <v>14</v>
      </c>
      <c r="I161">
        <f>IF(D161="","",IFERROR(VLOOKUP(D161,Instellingen!$D$5:$E$13,2,FALSE),""))</f>
        <v>45</v>
      </c>
      <c r="J161">
        <f>IF(C161="","",IF(C161="Ja",100,0))</f>
        <v>0</v>
      </c>
      <c r="K161">
        <f>IF(D161="","",SUM(I161*Instellingen!$B$5,J161*Instellingen!$B$6,IFERROR(E161/MAX($E$6:$E$189)*100,0)*Instellingen!$B$7,IFERROR(F161/MAX($F$6:$F$189)*100,0)*Instellingen!$B$8,IFERROR(G161/MAX($G$6:$G$189)*100,0)*Instellingen!$B$9,IFERROR(H161/MAX($H$6:$H$189)*100,0)*Instellingen!$B$10)/SUM(Instellingen!$B$5:$B$10))</f>
        <v>7.7924066752373173</v>
      </c>
      <c r="L161">
        <f>IF(K161="","",ROUND((Instellingen!$B$16+(Instellingen!$B$17-Instellingen!$B$16)*POWER(K161/100,Instellingen!$B$18))/Instellingen!$B$19,0)*Instellingen!$B$19)</f>
        <v>418</v>
      </c>
      <c r="N161">
        <f>IF(L161="","",MAX(Instellingen!$B$16,MIN(Instellingen!$B$17,L161+IF(M161="",0,M161))))</f>
        <v>418</v>
      </c>
      <c r="O161" t="str">
        <f>IF(N161="","",IF(N161&gt;=Instellingen!$B$22,"Absolute top",IF(N161&gt;=Instellingen!$B$23,"Kopman",IF(N161&gt;=Instellingen!$B$24,"Sterke keuze",IF(N161&gt;=Instellingen!$B$25,"Bruikbaar","Gok")))))</f>
        <v>Gok</v>
      </c>
      <c r="P161" t="str">
        <f>IF(A161="","",IF(D161="","Rol invullen","Compleet"))</f>
        <v>Compleet</v>
      </c>
      <c r="Q161" t="s">
        <v>269</v>
      </c>
    </row>
    <row r="162" spans="1:17">
      <c r="A162" t="s">
        <v>266</v>
      </c>
      <c r="B162" t="s">
        <v>264</v>
      </c>
      <c r="C162" t="s">
        <v>21</v>
      </c>
      <c r="D162" t="s">
        <v>26</v>
      </c>
      <c r="E162">
        <v>551</v>
      </c>
      <c r="F162">
        <v>201</v>
      </c>
      <c r="G162">
        <v>370</v>
      </c>
      <c r="H162">
        <v>210</v>
      </c>
      <c r="I162">
        <f>IF(D162="","",IFERROR(VLOOKUP(D162,Instellingen!$D$5:$E$13,2,FALSE),""))</f>
        <v>30</v>
      </c>
      <c r="J162">
        <f>IF(C162="","",IF(C162="Ja",100,0))</f>
        <v>0</v>
      </c>
      <c r="K162">
        <f>IF(D162="","",SUM(I162*Instellingen!$B$5,J162*Instellingen!$B$6,IFERROR(E162/MAX($E$6:$E$189)*100,0)*Instellingen!$B$7,IFERROR(F162/MAX($F$6:$F$189)*100,0)*Instellingen!$B$8,IFERROR(G162/MAX($G$6:$G$189)*100,0)*Instellingen!$B$9,IFERROR(H162/MAX($H$6:$H$189)*100,0)*Instellingen!$B$10)/SUM(Instellingen!$B$5:$B$10))</f>
        <v>7.7714496699656221</v>
      </c>
      <c r="L162">
        <f>IF(K162="","",ROUND((Instellingen!$B$16+(Instellingen!$B$17-Instellingen!$B$16)*POWER(K162/100,Instellingen!$B$18))/Instellingen!$B$19,0)*Instellingen!$B$19)</f>
        <v>418</v>
      </c>
      <c r="N162">
        <f>IF(L162="","",MAX(Instellingen!$B$16,MIN(Instellingen!$B$17,L162+IF(M162="",0,M162))))</f>
        <v>418</v>
      </c>
      <c r="O162" t="str">
        <f>IF(N162="","",IF(N162&gt;=Instellingen!$B$22,"Absolute top",IF(N162&gt;=Instellingen!$B$23,"Kopman",IF(N162&gt;=Instellingen!$B$24,"Sterke keuze",IF(N162&gt;=Instellingen!$B$25,"Bruikbaar","Gok")))))</f>
        <v>Gok</v>
      </c>
      <c r="P162" t="str">
        <f>IF(A162="","",IF(D162="","Rol invullen","Compleet"))</f>
        <v>Compleet</v>
      </c>
      <c r="Q162" t="s">
        <v>267</v>
      </c>
    </row>
    <row r="163" spans="1:17">
      <c r="A163" t="s">
        <v>153</v>
      </c>
      <c r="B163" t="s">
        <v>145</v>
      </c>
      <c r="C163" t="s">
        <v>21</v>
      </c>
      <c r="D163" t="s">
        <v>65</v>
      </c>
      <c r="E163">
        <v>43</v>
      </c>
      <c r="F163">
        <v>368</v>
      </c>
      <c r="G163">
        <v>4</v>
      </c>
      <c r="H163">
        <v>41</v>
      </c>
      <c r="I163">
        <f>IF(D163="","",IFERROR(VLOOKUP(D163,Instellingen!$D$5:$E$13,2,FALSE),""))</f>
        <v>45</v>
      </c>
      <c r="J163">
        <f>IF(C163="","",IF(C163="Ja",100,0))</f>
        <v>0</v>
      </c>
      <c r="K163">
        <f>IF(D163="","",SUM(I163*Instellingen!$B$5,J163*Instellingen!$B$6,IFERROR(E163/MAX($E$6:$E$189)*100,0)*Instellingen!$B$7,IFERROR(F163/MAX($F$6:$F$189)*100,0)*Instellingen!$B$8,IFERROR(G163/MAX($G$6:$G$189)*100,0)*Instellingen!$B$9,IFERROR(H163/MAX($H$6:$H$189)*100,0)*Instellingen!$B$10)/SUM(Instellingen!$B$5:$B$10))</f>
        <v>7.6100172994752366</v>
      </c>
      <c r="L163">
        <f>IF(K163="","",ROUND((Instellingen!$B$16+(Instellingen!$B$17-Instellingen!$B$16)*POWER(K163/100,Instellingen!$B$18))/Instellingen!$B$19,0)*Instellingen!$B$19)</f>
        <v>414</v>
      </c>
      <c r="N163">
        <f>IF(L163="","",MAX(Instellingen!$B$16,MIN(Instellingen!$B$17,L163+IF(M163="",0,M163))))</f>
        <v>414</v>
      </c>
      <c r="O163" t="str">
        <f>IF(N163="","",IF(N163&gt;=Instellingen!$B$22,"Absolute top",IF(N163&gt;=Instellingen!$B$23,"Kopman",IF(N163&gt;=Instellingen!$B$24,"Sterke keuze",IF(N163&gt;=Instellingen!$B$25,"Bruikbaar","Gok")))))</f>
        <v>Gok</v>
      </c>
      <c r="P163" t="str">
        <f>IF(A163="","",IF(D163="","Rol invullen","Compleet"))</f>
        <v>Compleet</v>
      </c>
      <c r="Q163" t="s">
        <v>154</v>
      </c>
    </row>
    <row r="164" spans="1:17">
      <c r="A164" t="s">
        <v>209</v>
      </c>
      <c r="B164" t="s">
        <v>201</v>
      </c>
      <c r="C164" t="s">
        <v>21</v>
      </c>
      <c r="D164" t="s">
        <v>26</v>
      </c>
      <c r="E164">
        <v>463</v>
      </c>
      <c r="F164">
        <v>158</v>
      </c>
      <c r="G164">
        <v>390</v>
      </c>
      <c r="H164">
        <v>58</v>
      </c>
      <c r="I164">
        <f>IF(D164="","",IFERROR(VLOOKUP(D164,Instellingen!$D$5:$E$13,2,FALSE),""))</f>
        <v>30</v>
      </c>
      <c r="J164">
        <f>IF(C164="","",IF(C164="Ja",100,0))</f>
        <v>0</v>
      </c>
      <c r="K164">
        <f>IF(D164="","",SUM(I164*Instellingen!$B$5,J164*Instellingen!$B$6,IFERROR(E164/MAX($E$6:$E$189)*100,0)*Instellingen!$B$7,IFERROR(F164/MAX($F$6:$F$189)*100,0)*Instellingen!$B$8,IFERROR(G164/MAX($G$6:$G$189)*100,0)*Instellingen!$B$9,IFERROR(H164/MAX($H$6:$H$189)*100,0)*Instellingen!$B$10)/SUM(Instellingen!$B$5:$B$10))</f>
        <v>7.2457800692911372</v>
      </c>
      <c r="L164">
        <f>IF(K164="","",ROUND((Instellingen!$B$16+(Instellingen!$B$17-Instellingen!$B$16)*POWER(K164/100,Instellingen!$B$18))/Instellingen!$B$19,0)*Instellingen!$B$19)</f>
        <v>407</v>
      </c>
      <c r="N164">
        <f>IF(L164="","",MAX(Instellingen!$B$16,MIN(Instellingen!$B$17,L164+IF(M164="",0,M164))))</f>
        <v>407</v>
      </c>
      <c r="O164" t="str">
        <f>IF(N164="","",IF(N164&gt;=Instellingen!$B$22,"Absolute top",IF(N164&gt;=Instellingen!$B$23,"Kopman",IF(N164&gt;=Instellingen!$B$24,"Sterke keuze",IF(N164&gt;=Instellingen!$B$25,"Bruikbaar","Gok")))))</f>
        <v>Gok</v>
      </c>
      <c r="P164" t="str">
        <f>IF(A164="","",IF(D164="","Rol invullen","Compleet"))</f>
        <v>Compleet</v>
      </c>
      <c r="Q164" t="s">
        <v>210</v>
      </c>
    </row>
    <row r="165" spans="1:17">
      <c r="A165" t="s">
        <v>189</v>
      </c>
      <c r="B165" t="s">
        <v>175</v>
      </c>
      <c r="C165" t="s">
        <v>21</v>
      </c>
      <c r="D165" t="s">
        <v>26</v>
      </c>
      <c r="E165">
        <v>515</v>
      </c>
      <c r="F165">
        <v>106</v>
      </c>
      <c r="G165">
        <v>288</v>
      </c>
      <c r="H165">
        <v>28</v>
      </c>
      <c r="I165">
        <f>IF(D165="","",IFERROR(VLOOKUP(D165,Instellingen!$D$5:$E$13,2,FALSE),""))</f>
        <v>30</v>
      </c>
      <c r="J165">
        <f>IF(C165="","",IF(C165="Ja",100,0))</f>
        <v>0</v>
      </c>
      <c r="K165">
        <f>IF(D165="","",SUM(I165*Instellingen!$B$5,J165*Instellingen!$B$6,IFERROR(E165/MAX($E$6:$E$189)*100,0)*Instellingen!$B$7,IFERROR(F165/MAX($F$6:$F$189)*100,0)*Instellingen!$B$8,IFERROR(G165/MAX($G$6:$G$189)*100,0)*Instellingen!$B$9,IFERROR(H165/MAX($H$6:$H$189)*100,0)*Instellingen!$B$10)/SUM(Instellingen!$B$5:$B$10))</f>
        <v>7.2018346387764201</v>
      </c>
      <c r="L165">
        <f>IF(K165="","",ROUND((Instellingen!$B$16+(Instellingen!$B$17-Instellingen!$B$16)*POWER(K165/100,Instellingen!$B$18))/Instellingen!$B$19,0)*Instellingen!$B$19)</f>
        <v>406</v>
      </c>
      <c r="N165">
        <f>IF(L165="","",MAX(Instellingen!$B$16,MIN(Instellingen!$B$17,L165+IF(M165="",0,M165))))</f>
        <v>406</v>
      </c>
      <c r="O165" t="str">
        <f>IF(N165="","",IF(N165&gt;=Instellingen!$B$22,"Absolute top",IF(N165&gt;=Instellingen!$B$23,"Kopman",IF(N165&gt;=Instellingen!$B$24,"Sterke keuze",IF(N165&gt;=Instellingen!$B$25,"Bruikbaar","Gok")))))</f>
        <v>Gok</v>
      </c>
      <c r="P165" t="str">
        <f>IF(A165="","",IF(D165="","Rol invullen","Compleet"))</f>
        <v>Compleet</v>
      </c>
      <c r="Q165" t="s">
        <v>190</v>
      </c>
    </row>
    <row r="166" spans="1:17">
      <c r="A166" t="s">
        <v>300</v>
      </c>
      <c r="B166" t="s">
        <v>38</v>
      </c>
      <c r="C166" t="s">
        <v>21</v>
      </c>
      <c r="D166" t="s">
        <v>26</v>
      </c>
      <c r="E166">
        <v>513</v>
      </c>
      <c r="F166">
        <v>95</v>
      </c>
      <c r="G166">
        <v>208</v>
      </c>
      <c r="H166">
        <v>127</v>
      </c>
      <c r="I166">
        <f>IF(D166="","",IFERROR(VLOOKUP(D166,Instellingen!$D$5:$E$13,2,FALSE),""))</f>
        <v>30</v>
      </c>
      <c r="J166">
        <f>IF(C166="","",IF(C166="Ja",100,0))</f>
        <v>0</v>
      </c>
      <c r="K166">
        <f>IF(D166="","",SUM(I166*Instellingen!$B$5,J166*Instellingen!$B$6,IFERROR(E166/MAX($E$6:$E$189)*100,0)*Instellingen!$B$7,IFERROR(F166/MAX($F$6:$F$189)*100,0)*Instellingen!$B$8,IFERROR(G166/MAX($G$6:$G$189)*100,0)*Instellingen!$B$9,IFERROR(H166/MAX($H$6:$H$189)*100,0)*Instellingen!$B$10)/SUM(Instellingen!$B$5:$B$10))</f>
        <v>7.1418287341501125</v>
      </c>
      <c r="L166">
        <f>IF(K166="","",ROUND((Instellingen!$B$16+(Instellingen!$B$17-Instellingen!$B$16)*POWER(K166/100,Instellingen!$B$18))/Instellingen!$B$19,0)*Instellingen!$B$19)</f>
        <v>405</v>
      </c>
      <c r="N166">
        <f>IF(L166="","",MAX(Instellingen!$B$16,MIN(Instellingen!$B$17,L166+IF(M166="",0,M166))))</f>
        <v>405</v>
      </c>
      <c r="O166" t="str">
        <f>IF(N166="","",IF(N166&gt;=Instellingen!$B$22,"Absolute top",IF(N166&gt;=Instellingen!$B$23,"Kopman",IF(N166&gt;=Instellingen!$B$24,"Sterke keuze",IF(N166&gt;=Instellingen!$B$25,"Bruikbaar","Gok")))))</f>
        <v>Gok</v>
      </c>
      <c r="P166" t="str">
        <f>IF(A166="","",IF(D166="","Rol invullen","Compleet"))</f>
        <v>Compleet</v>
      </c>
      <c r="Q166" t="s">
        <v>301</v>
      </c>
    </row>
    <row r="167" spans="1:17">
      <c r="A167" t="s">
        <v>362</v>
      </c>
      <c r="B167" t="s">
        <v>218</v>
      </c>
      <c r="C167" t="s">
        <v>21</v>
      </c>
      <c r="D167" t="s">
        <v>26</v>
      </c>
      <c r="E167">
        <v>367</v>
      </c>
      <c r="F167">
        <v>221</v>
      </c>
      <c r="G167">
        <v>328</v>
      </c>
      <c r="H167">
        <v>56</v>
      </c>
      <c r="I167">
        <f>IF(D167="","",IFERROR(VLOOKUP(D167,Instellingen!$D$5:$E$13,2,FALSE),""))</f>
        <v>30</v>
      </c>
      <c r="J167">
        <f>IF(C167="","",IF(C167="Ja",100,0))</f>
        <v>0</v>
      </c>
      <c r="K167">
        <f>IF(D167="","",SUM(I167*Instellingen!$B$5,J167*Instellingen!$B$6,IFERROR(E167/MAX($E$6:$E$189)*100,0)*Instellingen!$B$7,IFERROR(F167/MAX($F$6:$F$189)*100,0)*Instellingen!$B$8,IFERROR(G167/MAX($G$6:$G$189)*100,0)*Instellingen!$B$9,IFERROR(H167/MAX($H$6:$H$189)*100,0)*Instellingen!$B$10)/SUM(Instellingen!$B$5:$B$10))</f>
        <v>6.8787666337797546</v>
      </c>
      <c r="L167">
        <f>IF(K167="","",ROUND((Instellingen!$B$16+(Instellingen!$B$17-Instellingen!$B$16)*POWER(K167/100,Instellingen!$B$18))/Instellingen!$B$19,0)*Instellingen!$B$19)</f>
        <v>400</v>
      </c>
      <c r="N167">
        <f>IF(L167="","",MAX(Instellingen!$B$16,MIN(Instellingen!$B$17,L167+IF(M167="",0,M167))))</f>
        <v>400</v>
      </c>
      <c r="O167" t="str">
        <f>IF(N167="","",IF(N167&gt;=Instellingen!$B$22,"Absolute top",IF(N167&gt;=Instellingen!$B$23,"Kopman",IF(N167&gt;=Instellingen!$B$24,"Sterke keuze",IF(N167&gt;=Instellingen!$B$25,"Bruikbaar","Gok")))))</f>
        <v>Gok</v>
      </c>
      <c r="P167" t="str">
        <f>IF(A167="","",IF(D167="","Rol invullen","Compleet"))</f>
        <v>Compleet</v>
      </c>
      <c r="Q167" t="s">
        <v>363</v>
      </c>
    </row>
    <row r="168" spans="1:17">
      <c r="A168" t="s">
        <v>155</v>
      </c>
      <c r="B168" t="s">
        <v>145</v>
      </c>
      <c r="C168" t="s">
        <v>21</v>
      </c>
      <c r="D168" t="s">
        <v>26</v>
      </c>
      <c r="E168">
        <v>362</v>
      </c>
      <c r="F168">
        <v>62</v>
      </c>
      <c r="G168">
        <v>506</v>
      </c>
      <c r="H168">
        <v>40</v>
      </c>
      <c r="I168">
        <f>IF(D168="","",IFERROR(VLOOKUP(D168,Instellingen!$D$5:$E$13,2,FALSE),""))</f>
        <v>30</v>
      </c>
      <c r="J168">
        <f>IF(C168="","",IF(C168="Ja",100,0))</f>
        <v>0</v>
      </c>
      <c r="K168">
        <f>IF(D168="","",SUM(I168*Instellingen!$B$5,J168*Instellingen!$B$6,IFERROR(E168/MAX($E$6:$E$189)*100,0)*Instellingen!$B$7,IFERROR(F168/MAX($F$6:$F$189)*100,0)*Instellingen!$B$8,IFERROR(G168/MAX($G$6:$G$189)*100,0)*Instellingen!$B$9,IFERROR(H168/MAX($H$6:$H$189)*100,0)*Instellingen!$B$10)/SUM(Instellingen!$B$5:$B$10))</f>
        <v>6.8115468301052875</v>
      </c>
      <c r="L168">
        <f>IF(K168="","",ROUND((Instellingen!$B$16+(Instellingen!$B$17-Instellingen!$B$16)*POWER(K168/100,Instellingen!$B$18))/Instellingen!$B$19,0)*Instellingen!$B$19)</f>
        <v>398</v>
      </c>
      <c r="N168">
        <f>IF(L168="","",MAX(Instellingen!$B$16,MIN(Instellingen!$B$17,L168+IF(M168="",0,M168))))</f>
        <v>398</v>
      </c>
      <c r="O168" t="str">
        <f>IF(N168="","",IF(N168&gt;=Instellingen!$B$22,"Absolute top",IF(N168&gt;=Instellingen!$B$23,"Kopman",IF(N168&gt;=Instellingen!$B$24,"Sterke keuze",IF(N168&gt;=Instellingen!$B$25,"Bruikbaar","Gok")))))</f>
        <v>Gok</v>
      </c>
      <c r="P168" t="str">
        <f>IF(A168="","",IF(D168="","Rol invullen","Compleet"))</f>
        <v>Compleet</v>
      </c>
      <c r="Q168" t="s">
        <v>156</v>
      </c>
    </row>
    <row r="169" spans="1:17">
      <c r="A169" t="s">
        <v>272</v>
      </c>
      <c r="B169" t="s">
        <v>264</v>
      </c>
      <c r="C169" t="s">
        <v>21</v>
      </c>
      <c r="D169" t="s">
        <v>26</v>
      </c>
      <c r="E169">
        <v>331</v>
      </c>
      <c r="F169">
        <v>220</v>
      </c>
      <c r="G169">
        <v>208</v>
      </c>
      <c r="H169">
        <v>18</v>
      </c>
      <c r="I169">
        <f>IF(D169="","",IFERROR(VLOOKUP(D169,Instellingen!$D$5:$E$13,2,FALSE),""))</f>
        <v>30</v>
      </c>
      <c r="J169">
        <f>IF(C169="","",IF(C169="Ja",100,0))</f>
        <v>0</v>
      </c>
      <c r="K169">
        <f>IF(D169="","",SUM(I169*Instellingen!$B$5,J169*Instellingen!$B$6,IFERROR(E169/MAX($E$6:$E$189)*100,0)*Instellingen!$B$7,IFERROR(F169/MAX($F$6:$F$189)*100,0)*Instellingen!$B$8,IFERROR(G169/MAX($G$6:$G$189)*100,0)*Instellingen!$B$9,IFERROR(H169/MAX($H$6:$H$189)*100,0)*Instellingen!$B$10)/SUM(Instellingen!$B$5:$B$10))</f>
        <v>6.5352052379591532</v>
      </c>
      <c r="L169">
        <f>IF(K169="","",ROUND((Instellingen!$B$16+(Instellingen!$B$17-Instellingen!$B$16)*POWER(K169/100,Instellingen!$B$18))/Instellingen!$B$19,0)*Instellingen!$B$19)</f>
        <v>393</v>
      </c>
      <c r="N169">
        <f>IF(L169="","",MAX(Instellingen!$B$16,MIN(Instellingen!$B$17,L169+IF(M169="",0,M169))))</f>
        <v>393</v>
      </c>
      <c r="O169" t="str">
        <f>IF(N169="","",IF(N169&gt;=Instellingen!$B$22,"Absolute top",IF(N169&gt;=Instellingen!$B$23,"Kopman",IF(N169&gt;=Instellingen!$B$24,"Sterke keuze",IF(N169&gt;=Instellingen!$B$25,"Bruikbaar","Gok")))))</f>
        <v>Gok</v>
      </c>
      <c r="P169" t="str">
        <f>IF(A169="","",IF(D169="","Rol invullen","Compleet"))</f>
        <v>Compleet</v>
      </c>
      <c r="Q169" t="s">
        <v>273</v>
      </c>
    </row>
    <row r="170" spans="1:17">
      <c r="A170" t="s">
        <v>255</v>
      </c>
      <c r="B170" t="s">
        <v>247</v>
      </c>
      <c r="C170" t="s">
        <v>21</v>
      </c>
      <c r="D170" t="s">
        <v>26</v>
      </c>
      <c r="E170">
        <v>401</v>
      </c>
      <c r="F170">
        <v>27</v>
      </c>
      <c r="G170">
        <v>158</v>
      </c>
      <c r="H170">
        <v>29</v>
      </c>
      <c r="I170">
        <f>IF(D170="","",IFERROR(VLOOKUP(D170,Instellingen!$D$5:$E$13,2,FALSE),""))</f>
        <v>30</v>
      </c>
      <c r="J170">
        <f>IF(C170="","",IF(C170="Ja",100,0))</f>
        <v>0</v>
      </c>
      <c r="K170">
        <f>IF(D170="","",SUM(I170*Instellingen!$B$5,J170*Instellingen!$B$6,IFERROR(E170/MAX($E$6:$E$189)*100,0)*Instellingen!$B$7,IFERROR(F170/MAX($F$6:$F$189)*100,0)*Instellingen!$B$8,IFERROR(G170/MAX($G$6:$G$189)*100,0)*Instellingen!$B$9,IFERROR(H170/MAX($H$6:$H$189)*100,0)*Instellingen!$B$10)/SUM(Instellingen!$B$5:$B$10))</f>
        <v>6.4204136903590161</v>
      </c>
      <c r="L170">
        <f>IF(K170="","",ROUND((Instellingen!$B$16+(Instellingen!$B$17-Instellingen!$B$16)*POWER(K170/100,Instellingen!$B$18))/Instellingen!$B$19,0)*Instellingen!$B$19)</f>
        <v>391</v>
      </c>
      <c r="N170">
        <f>IF(L170="","",MAX(Instellingen!$B$16,MIN(Instellingen!$B$17,L170+IF(M170="",0,M170))))</f>
        <v>391</v>
      </c>
      <c r="O170" t="str">
        <f>IF(N170="","",IF(N170&gt;=Instellingen!$B$22,"Absolute top",IF(N170&gt;=Instellingen!$B$23,"Kopman",IF(N170&gt;=Instellingen!$B$24,"Sterke keuze",IF(N170&gt;=Instellingen!$B$25,"Bruikbaar","Gok")))))</f>
        <v>Gok</v>
      </c>
      <c r="P170" t="str">
        <f>IF(A170="","",IF(D170="","Rol invullen","Compleet"))</f>
        <v>Compleet</v>
      </c>
      <c r="Q170" t="s">
        <v>256</v>
      </c>
    </row>
    <row r="171" spans="1:17">
      <c r="A171" t="s">
        <v>237</v>
      </c>
      <c r="B171" t="s">
        <v>223</v>
      </c>
      <c r="C171" t="s">
        <v>21</v>
      </c>
      <c r="D171" t="s">
        <v>26</v>
      </c>
      <c r="E171">
        <v>360</v>
      </c>
      <c r="F171">
        <v>128</v>
      </c>
      <c r="G171">
        <v>164</v>
      </c>
      <c r="H171">
        <v>0</v>
      </c>
      <c r="I171">
        <f>IF(D171="","",IFERROR(VLOOKUP(D171,Instellingen!$D$5:$E$13,2,FALSE),""))</f>
        <v>30</v>
      </c>
      <c r="J171">
        <f>IF(C171="","",IF(C171="Ja",100,0))</f>
        <v>0</v>
      </c>
      <c r="K171">
        <f>IF(D171="","",SUM(I171*Instellingen!$B$5,J171*Instellingen!$B$6,IFERROR(E171/MAX($E$6:$E$189)*100,0)*Instellingen!$B$7,IFERROR(F171/MAX($F$6:$F$189)*100,0)*Instellingen!$B$8,IFERROR(G171/MAX($G$6:$G$189)*100,0)*Instellingen!$B$9,IFERROR(H171/MAX($H$6:$H$189)*100,0)*Instellingen!$B$10)/SUM(Instellingen!$B$5:$B$10))</f>
        <v>6.4166525819119569</v>
      </c>
      <c r="L171">
        <f>IF(K171="","",ROUND((Instellingen!$B$16+(Instellingen!$B$17-Instellingen!$B$16)*POWER(K171/100,Instellingen!$B$18))/Instellingen!$B$19,0)*Instellingen!$B$19)</f>
        <v>391</v>
      </c>
      <c r="N171">
        <f>IF(L171="","",MAX(Instellingen!$B$16,MIN(Instellingen!$B$17,L171+IF(M171="",0,M171))))</f>
        <v>391</v>
      </c>
      <c r="O171" t="str">
        <f>IF(N171="","",IF(N171&gt;=Instellingen!$B$22,"Absolute top",IF(N171&gt;=Instellingen!$B$23,"Kopman",IF(N171&gt;=Instellingen!$B$24,"Sterke keuze",IF(N171&gt;=Instellingen!$B$25,"Bruikbaar","Gok")))))</f>
        <v>Gok</v>
      </c>
      <c r="P171" t="str">
        <f>IF(A171="","",IF(D171="","Rol invullen","Compleet"))</f>
        <v>Compleet</v>
      </c>
      <c r="Q171" t="s">
        <v>238</v>
      </c>
    </row>
    <row r="172" spans="1:17">
      <c r="A172" t="s">
        <v>239</v>
      </c>
      <c r="B172" t="s">
        <v>240</v>
      </c>
      <c r="C172" t="s">
        <v>21</v>
      </c>
      <c r="D172" t="s">
        <v>26</v>
      </c>
      <c r="E172">
        <v>380</v>
      </c>
      <c r="F172">
        <v>125</v>
      </c>
      <c r="G172">
        <v>108</v>
      </c>
      <c r="H172">
        <v>1</v>
      </c>
      <c r="I172">
        <f>IF(D172="","",IFERROR(VLOOKUP(D172,Instellingen!$D$5:$E$13,2,FALSE),""))</f>
        <v>30</v>
      </c>
      <c r="J172">
        <f>IF(C172="","",IF(C172="Ja",100,0))</f>
        <v>0</v>
      </c>
      <c r="K172">
        <f>IF(D172="","",SUM(I172*Instellingen!$B$5,J172*Instellingen!$B$6,IFERROR(E172/MAX($E$6:$E$189)*100,0)*Instellingen!$B$7,IFERROR(F172/MAX($F$6:$F$189)*100,0)*Instellingen!$B$8,IFERROR(G172/MAX($G$6:$G$189)*100,0)*Instellingen!$B$9,IFERROR(H172/MAX($H$6:$H$189)*100,0)*Instellingen!$B$10)/SUM(Instellingen!$B$5:$B$10))</f>
        <v>6.4163840133813412</v>
      </c>
      <c r="L172">
        <f>IF(K172="","",ROUND((Instellingen!$B$16+(Instellingen!$B$17-Instellingen!$B$16)*POWER(K172/100,Instellingen!$B$18))/Instellingen!$B$19,0)*Instellingen!$B$19)</f>
        <v>391</v>
      </c>
      <c r="N172">
        <f>IF(L172="","",MAX(Instellingen!$B$16,MIN(Instellingen!$B$17,L172+IF(M172="",0,M172))))</f>
        <v>391</v>
      </c>
      <c r="O172" t="str">
        <f>IF(N172="","",IF(N172&gt;=Instellingen!$B$22,"Absolute top",IF(N172&gt;=Instellingen!$B$23,"Kopman",IF(N172&gt;=Instellingen!$B$24,"Sterke keuze",IF(N172&gt;=Instellingen!$B$25,"Bruikbaar","Gok")))))</f>
        <v>Gok</v>
      </c>
      <c r="P172" t="str">
        <f>IF(A172="","",IF(D172="","Rol invullen","Compleet"))</f>
        <v>Compleet</v>
      </c>
      <c r="Q172" t="s">
        <v>241</v>
      </c>
    </row>
    <row r="173" spans="1:17">
      <c r="A173" t="s">
        <v>263</v>
      </c>
      <c r="B173" t="s">
        <v>264</v>
      </c>
      <c r="C173" t="s">
        <v>21</v>
      </c>
      <c r="D173" t="s">
        <v>26</v>
      </c>
      <c r="E173">
        <v>239</v>
      </c>
      <c r="F173">
        <v>288</v>
      </c>
      <c r="G173">
        <v>224</v>
      </c>
      <c r="H173">
        <v>40</v>
      </c>
      <c r="I173">
        <f>IF(D173="","",IFERROR(VLOOKUP(D173,Instellingen!$D$5:$E$13,2,FALSE),""))</f>
        <v>30</v>
      </c>
      <c r="J173">
        <f>IF(C173="","",IF(C173="Ja",100,0))</f>
        <v>0</v>
      </c>
      <c r="K173">
        <f>IF(D173="","",SUM(I173*Instellingen!$B$5,J173*Instellingen!$B$6,IFERROR(E173/MAX($E$6:$E$189)*100,0)*Instellingen!$B$7,IFERROR(F173/MAX($F$6:$F$189)*100,0)*Instellingen!$B$8,IFERROR(G173/MAX($G$6:$G$189)*100,0)*Instellingen!$B$9,IFERROR(H173/MAX($H$6:$H$189)*100,0)*Instellingen!$B$10)/SUM(Instellingen!$B$5:$B$10))</f>
        <v>6.3196361021462124</v>
      </c>
      <c r="L173">
        <f>IF(K173="","",ROUND((Instellingen!$B$16+(Instellingen!$B$17-Instellingen!$B$16)*POWER(K173/100,Instellingen!$B$18))/Instellingen!$B$19,0)*Instellingen!$B$19)</f>
        <v>389</v>
      </c>
      <c r="N173">
        <f>IF(L173="","",MAX(Instellingen!$B$16,MIN(Instellingen!$B$17,L173+IF(M173="",0,M173))))</f>
        <v>389</v>
      </c>
      <c r="O173" t="str">
        <f>IF(N173="","",IF(N173&gt;=Instellingen!$B$22,"Absolute top",IF(N173&gt;=Instellingen!$B$23,"Kopman",IF(N173&gt;=Instellingen!$B$24,"Sterke keuze",IF(N173&gt;=Instellingen!$B$25,"Bruikbaar","Gok")))))</f>
        <v>Gok</v>
      </c>
      <c r="P173" t="str">
        <f>IF(A173="","",IF(D173="","Rol invullen","Compleet"))</f>
        <v>Compleet</v>
      </c>
      <c r="Q173" t="s">
        <v>265</v>
      </c>
    </row>
    <row r="174" spans="1:17">
      <c r="A174" t="s">
        <v>251</v>
      </c>
      <c r="B174" t="s">
        <v>247</v>
      </c>
      <c r="C174" t="s">
        <v>21</v>
      </c>
      <c r="D174" t="s">
        <v>26</v>
      </c>
      <c r="E174">
        <v>173</v>
      </c>
      <c r="F174">
        <v>281</v>
      </c>
      <c r="G174">
        <v>278</v>
      </c>
      <c r="H174">
        <v>145</v>
      </c>
      <c r="I174">
        <f>IF(D174="","",IFERROR(VLOOKUP(D174,Instellingen!$D$5:$E$13,2,FALSE),""))</f>
        <v>30</v>
      </c>
      <c r="J174">
        <f>IF(C174="","",IF(C174="Ja",100,0))</f>
        <v>0</v>
      </c>
      <c r="K174">
        <f>IF(D174="","",SUM(I174*Instellingen!$B$5,J174*Instellingen!$B$6,IFERROR(E174/MAX($E$6:$E$189)*100,0)*Instellingen!$B$7,IFERROR(F174/MAX($F$6:$F$189)*100,0)*Instellingen!$B$8,IFERROR(G174/MAX($G$6:$G$189)*100,0)*Instellingen!$B$9,IFERROR(H174/MAX($H$6:$H$189)*100,0)*Instellingen!$B$10)/SUM(Instellingen!$B$5:$B$10))</f>
        <v>6.1955611635010364</v>
      </c>
      <c r="L174">
        <f>IF(K174="","",ROUND((Instellingen!$B$16+(Instellingen!$B$17-Instellingen!$B$16)*POWER(K174/100,Instellingen!$B$18))/Instellingen!$B$19,0)*Instellingen!$B$19)</f>
        <v>387</v>
      </c>
      <c r="N174">
        <f>IF(L174="","",MAX(Instellingen!$B$16,MIN(Instellingen!$B$17,L174+IF(M174="",0,M174))))</f>
        <v>387</v>
      </c>
      <c r="O174" t="str">
        <f>IF(N174="","",IF(N174&gt;=Instellingen!$B$22,"Absolute top",IF(N174&gt;=Instellingen!$B$23,"Kopman",IF(N174&gt;=Instellingen!$B$24,"Sterke keuze",IF(N174&gt;=Instellingen!$B$25,"Bruikbaar","Gok")))))</f>
        <v>Gok</v>
      </c>
      <c r="P174" t="str">
        <f>IF(A174="","",IF(D174="","Rol invullen","Compleet"))</f>
        <v>Compleet</v>
      </c>
      <c r="Q174" t="s">
        <v>252</v>
      </c>
    </row>
    <row r="175" spans="1:17">
      <c r="A175" t="s">
        <v>102</v>
      </c>
      <c r="B175" t="s">
        <v>92</v>
      </c>
      <c r="C175" t="s">
        <v>21</v>
      </c>
      <c r="D175" t="s">
        <v>26</v>
      </c>
      <c r="E175">
        <v>285</v>
      </c>
      <c r="F175">
        <v>188</v>
      </c>
      <c r="G175">
        <v>86</v>
      </c>
      <c r="H175">
        <v>49</v>
      </c>
      <c r="I175">
        <f>IF(D175="","",IFERROR(VLOOKUP(D175,Instellingen!$D$5:$E$13,2,FALSE),""))</f>
        <v>30</v>
      </c>
      <c r="J175">
        <f>IF(C175="","",IF(C175="Ja",100,0))</f>
        <v>0</v>
      </c>
      <c r="K175">
        <f>IF(D175="","",SUM(I175*Instellingen!$B$5,J175*Instellingen!$B$6,IFERROR(E175/MAX($E$6:$E$189)*100,0)*Instellingen!$B$7,IFERROR(F175/MAX($F$6:$F$189)*100,0)*Instellingen!$B$8,IFERROR(G175/MAX($G$6:$G$189)*100,0)*Instellingen!$B$9,IFERROR(H175/MAX($H$6:$H$189)*100,0)*Instellingen!$B$10)/SUM(Instellingen!$B$5:$B$10))</f>
        <v>6.1478493432159897</v>
      </c>
      <c r="L175">
        <f>IF(K175="","",ROUND((Instellingen!$B$16+(Instellingen!$B$17-Instellingen!$B$16)*POWER(K175/100,Instellingen!$B$18))/Instellingen!$B$19,0)*Instellingen!$B$19)</f>
        <v>386</v>
      </c>
      <c r="N175">
        <f>IF(L175="","",MAX(Instellingen!$B$16,MIN(Instellingen!$B$17,L175+IF(M175="",0,M175))))</f>
        <v>386</v>
      </c>
      <c r="O175" t="str">
        <f>IF(N175="","",IF(N175&gt;=Instellingen!$B$22,"Absolute top",IF(N175&gt;=Instellingen!$B$23,"Kopman",IF(N175&gt;=Instellingen!$B$24,"Sterke keuze",IF(N175&gt;=Instellingen!$B$25,"Bruikbaar","Gok")))))</f>
        <v>Gok</v>
      </c>
      <c r="P175" t="str">
        <f>IF(A175="","",IF(D175="","Rol invullen","Compleet"))</f>
        <v>Compleet</v>
      </c>
      <c r="Q175" t="s">
        <v>103</v>
      </c>
    </row>
    <row r="176" spans="1:17">
      <c r="A176" t="s">
        <v>233</v>
      </c>
      <c r="B176" t="s">
        <v>223</v>
      </c>
      <c r="C176" t="s">
        <v>21</v>
      </c>
      <c r="D176" t="s">
        <v>26</v>
      </c>
      <c r="E176">
        <v>231</v>
      </c>
      <c r="F176">
        <v>256</v>
      </c>
      <c r="G176">
        <v>112</v>
      </c>
      <c r="H176">
        <v>34</v>
      </c>
      <c r="I176">
        <f>IF(D176="","",IFERROR(VLOOKUP(D176,Instellingen!$D$5:$E$13,2,FALSE),""))</f>
        <v>30</v>
      </c>
      <c r="J176">
        <f>IF(C176="","",IF(C176="Ja",100,0))</f>
        <v>0</v>
      </c>
      <c r="K176">
        <f>IF(D176="","",SUM(I176*Instellingen!$B$5,J176*Instellingen!$B$6,IFERROR(E176/MAX($E$6:$E$189)*100,0)*Instellingen!$B$7,IFERROR(F176/MAX($F$6:$F$189)*100,0)*Instellingen!$B$8,IFERROR(G176/MAX($G$6:$G$189)*100,0)*Instellingen!$B$9,IFERROR(H176/MAX($H$6:$H$189)*100,0)*Instellingen!$B$10)/SUM(Instellingen!$B$5:$B$10))</f>
        <v>6.0716909401649231</v>
      </c>
      <c r="L176">
        <f>IF(K176="","",ROUND((Instellingen!$B$16+(Instellingen!$B$17-Instellingen!$B$16)*POWER(K176/100,Instellingen!$B$18))/Instellingen!$B$19,0)*Instellingen!$B$19)</f>
        <v>384</v>
      </c>
      <c r="N176">
        <f>IF(L176="","",MAX(Instellingen!$B$16,MIN(Instellingen!$B$17,L176+IF(M176="",0,M176))))</f>
        <v>384</v>
      </c>
      <c r="O176" t="str">
        <f>IF(N176="","",IF(N176&gt;=Instellingen!$B$22,"Absolute top",IF(N176&gt;=Instellingen!$B$23,"Kopman",IF(N176&gt;=Instellingen!$B$24,"Sterke keuze",IF(N176&gt;=Instellingen!$B$25,"Bruikbaar","Gok")))))</f>
        <v>Gok</v>
      </c>
      <c r="P176" t="str">
        <f>IF(A176="","",IF(D176="","Rol invullen","Compleet"))</f>
        <v>Compleet</v>
      </c>
      <c r="Q176" t="s">
        <v>234</v>
      </c>
    </row>
    <row r="177" spans="1:17">
      <c r="A177" t="s">
        <v>376</v>
      </c>
      <c r="B177" t="s">
        <v>29</v>
      </c>
      <c r="C177" t="s">
        <v>21</v>
      </c>
      <c r="D177" t="s">
        <v>26</v>
      </c>
      <c r="E177">
        <v>223</v>
      </c>
      <c r="F177">
        <v>275</v>
      </c>
      <c r="G177">
        <v>40</v>
      </c>
      <c r="H177">
        <v>6</v>
      </c>
      <c r="I177">
        <f>IF(D177="","",IFERROR(VLOOKUP(D177,Instellingen!$D$5:$E$13,2,FALSE),""))</f>
        <v>30</v>
      </c>
      <c r="J177">
        <f>IF(C177="","",IF(C177="Ja",100,0))</f>
        <v>0</v>
      </c>
      <c r="K177">
        <f>IF(D177="","",SUM(I177*Instellingen!$B$5,J177*Instellingen!$B$6,IFERROR(E177/MAX($E$6:$E$189)*100,0)*Instellingen!$B$7,IFERROR(F177/MAX($F$6:$F$189)*100,0)*Instellingen!$B$8,IFERROR(G177/MAX($G$6:$G$189)*100,0)*Instellingen!$B$9,IFERROR(H177/MAX($H$6:$H$189)*100,0)*Instellingen!$B$10)/SUM(Instellingen!$B$5:$B$10))</f>
        <v>5.9513052784680971</v>
      </c>
      <c r="L177">
        <f>IF(K177="","",ROUND((Instellingen!$B$16+(Instellingen!$B$17-Instellingen!$B$16)*POWER(K177/100,Instellingen!$B$18))/Instellingen!$B$19,0)*Instellingen!$B$19)</f>
        <v>382</v>
      </c>
      <c r="N177">
        <f>IF(L177="","",MAX(Instellingen!$B$16,MIN(Instellingen!$B$17,L177+IF(M177="",0,M177))))</f>
        <v>382</v>
      </c>
      <c r="O177" t="str">
        <f>IF(N177="","",IF(N177&gt;=Instellingen!$B$22,"Absolute top",IF(N177&gt;=Instellingen!$B$23,"Kopman",IF(N177&gt;=Instellingen!$B$24,"Sterke keuze",IF(N177&gt;=Instellingen!$B$25,"Bruikbaar","Gok")))))</f>
        <v>Gok</v>
      </c>
      <c r="P177" t="str">
        <f>IF(A177="","",IF(D177="","Rol invullen","Compleet"))</f>
        <v>Compleet</v>
      </c>
      <c r="Q177" t="s">
        <v>377</v>
      </c>
    </row>
    <row r="178" spans="1:17">
      <c r="A178" t="s">
        <v>392</v>
      </c>
      <c r="B178" t="s">
        <v>117</v>
      </c>
      <c r="C178" t="s">
        <v>21</v>
      </c>
      <c r="D178" t="s">
        <v>26</v>
      </c>
      <c r="E178">
        <v>219</v>
      </c>
      <c r="F178">
        <v>243</v>
      </c>
      <c r="G178">
        <v>44</v>
      </c>
      <c r="H178">
        <v>17</v>
      </c>
      <c r="I178">
        <f>IF(D178="","",IFERROR(VLOOKUP(D178,Instellingen!$D$5:$E$13,2,FALSE),""))</f>
        <v>30</v>
      </c>
      <c r="J178">
        <f>IF(C178="","",IF(C178="Ja",100,0))</f>
        <v>0</v>
      </c>
      <c r="K178">
        <f>IF(D178="","",SUM(I178*Instellingen!$B$5,J178*Instellingen!$B$6,IFERROR(E178/MAX($E$6:$E$189)*100,0)*Instellingen!$B$7,IFERROR(F178/MAX($F$6:$F$189)*100,0)*Instellingen!$B$8,IFERROR(G178/MAX($G$6:$G$189)*100,0)*Instellingen!$B$9,IFERROR(H178/MAX($H$6:$H$189)*100,0)*Instellingen!$B$10)/SUM(Instellingen!$B$5:$B$10))</f>
        <v>5.8928922341828285</v>
      </c>
      <c r="L178">
        <f>IF(K178="","",ROUND((Instellingen!$B$16+(Instellingen!$B$17-Instellingen!$B$16)*POWER(K178/100,Instellingen!$B$18))/Instellingen!$B$19,0)*Instellingen!$B$19)</f>
        <v>381</v>
      </c>
      <c r="N178">
        <f>IF(L178="","",MAX(Instellingen!$B$16,MIN(Instellingen!$B$17,L178+IF(M178="",0,M178))))</f>
        <v>381</v>
      </c>
      <c r="O178" t="str">
        <f>IF(N178="","",IF(N178&gt;=Instellingen!$B$22,"Absolute top",IF(N178&gt;=Instellingen!$B$23,"Kopman",IF(N178&gt;=Instellingen!$B$24,"Sterke keuze",IF(N178&gt;=Instellingen!$B$25,"Bruikbaar","Gok")))))</f>
        <v>Gok</v>
      </c>
      <c r="P178" t="str">
        <f>IF(A178="","",IF(D178="","Rol invullen","Compleet"))</f>
        <v>Compleet</v>
      </c>
      <c r="Q178" t="s">
        <v>393</v>
      </c>
    </row>
    <row r="179" spans="1:17">
      <c r="A179" t="s">
        <v>259</v>
      </c>
      <c r="B179" t="s">
        <v>247</v>
      </c>
      <c r="C179" t="s">
        <v>21</v>
      </c>
      <c r="D179" t="s">
        <v>26</v>
      </c>
      <c r="E179">
        <v>212</v>
      </c>
      <c r="F179">
        <v>223</v>
      </c>
      <c r="G179">
        <v>38</v>
      </c>
      <c r="H179">
        <v>6</v>
      </c>
      <c r="I179">
        <f>IF(D179="","",IFERROR(VLOOKUP(D179,Instellingen!$D$5:$E$13,2,FALSE),""))</f>
        <v>30</v>
      </c>
      <c r="J179">
        <f>IF(C179="","",IF(C179="Ja",100,0))</f>
        <v>0</v>
      </c>
      <c r="K179">
        <f>IF(D179="","",SUM(I179*Instellingen!$B$5,J179*Instellingen!$B$6,IFERROR(E179/MAX($E$6:$E$189)*100,0)*Instellingen!$B$7,IFERROR(F179/MAX($F$6:$F$189)*100,0)*Instellingen!$B$8,IFERROR(G179/MAX($G$6:$G$189)*100,0)*Instellingen!$B$9,IFERROR(H179/MAX($H$6:$H$189)*100,0)*Instellingen!$B$10)/SUM(Instellingen!$B$5:$B$10))</f>
        <v>5.8123098435401959</v>
      </c>
      <c r="L179">
        <f>IF(K179="","",ROUND((Instellingen!$B$16+(Instellingen!$B$17-Instellingen!$B$16)*POWER(K179/100,Instellingen!$B$18))/Instellingen!$B$19,0)*Instellingen!$B$19)</f>
        <v>379</v>
      </c>
      <c r="N179">
        <f>IF(L179="","",MAX(Instellingen!$B$16,MIN(Instellingen!$B$17,L179+IF(M179="",0,M179))))</f>
        <v>379</v>
      </c>
      <c r="O179" t="str">
        <f>IF(N179="","",IF(N179&gt;=Instellingen!$B$22,"Absolute top",IF(N179&gt;=Instellingen!$B$23,"Kopman",IF(N179&gt;=Instellingen!$B$24,"Sterke keuze",IF(N179&gt;=Instellingen!$B$25,"Bruikbaar","Gok")))))</f>
        <v>Gok</v>
      </c>
      <c r="P179" t="str">
        <f>IF(A179="","",IF(D179="","Rol invullen","Compleet"))</f>
        <v>Compleet</v>
      </c>
      <c r="Q179" t="s">
        <v>260</v>
      </c>
    </row>
    <row r="180" spans="1:17">
      <c r="A180" t="s">
        <v>402</v>
      </c>
      <c r="B180" t="s">
        <v>240</v>
      </c>
      <c r="C180" t="s">
        <v>21</v>
      </c>
      <c r="D180" t="s">
        <v>26</v>
      </c>
      <c r="E180">
        <v>195</v>
      </c>
      <c r="F180">
        <v>70</v>
      </c>
      <c r="G180">
        <v>16</v>
      </c>
      <c r="H180">
        <v>440</v>
      </c>
      <c r="I180">
        <f>IF(D180="","",IFERROR(VLOOKUP(D180,Instellingen!$D$5:$E$13,2,FALSE),""))</f>
        <v>30</v>
      </c>
      <c r="J180">
        <f>IF(C180="","",IF(C180="Ja",100,0))</f>
        <v>0</v>
      </c>
      <c r="K180">
        <f>IF(D180="","",SUM(I180*Instellingen!$B$5,J180*Instellingen!$B$6,IFERROR(E180/MAX($E$6:$E$189)*100,0)*Instellingen!$B$7,IFERROR(F180/MAX($F$6:$F$189)*100,0)*Instellingen!$B$8,IFERROR(G180/MAX($G$6:$G$189)*100,0)*Instellingen!$B$9,IFERROR(H180/MAX($H$6:$H$189)*100,0)*Instellingen!$B$10)/SUM(Instellingen!$B$5:$B$10))</f>
        <v>5.7845501659850402</v>
      </c>
      <c r="L180">
        <f>IF(K180="","",ROUND((Instellingen!$B$16+(Instellingen!$B$17-Instellingen!$B$16)*POWER(K180/100,Instellingen!$B$18))/Instellingen!$B$19,0)*Instellingen!$B$19)</f>
        <v>379</v>
      </c>
      <c r="N180">
        <f>IF(L180="","",MAX(Instellingen!$B$16,MIN(Instellingen!$B$17,L180+IF(M180="",0,M180))))</f>
        <v>379</v>
      </c>
      <c r="O180" t="str">
        <f>IF(N180="","",IF(N180&gt;=Instellingen!$B$22,"Absolute top",IF(N180&gt;=Instellingen!$B$23,"Kopman",IF(N180&gt;=Instellingen!$B$24,"Sterke keuze",IF(N180&gt;=Instellingen!$B$25,"Bruikbaar","Gok")))))</f>
        <v>Gok</v>
      </c>
      <c r="P180" t="str">
        <f>IF(A180="","",IF(D180="","Rol invullen","Compleet"))</f>
        <v>Compleet</v>
      </c>
      <c r="Q180" t="s">
        <v>403</v>
      </c>
    </row>
    <row r="181" spans="1:17">
      <c r="A181" t="s">
        <v>360</v>
      </c>
      <c r="B181" t="s">
        <v>218</v>
      </c>
      <c r="C181" t="s">
        <v>21</v>
      </c>
      <c r="D181" t="s">
        <v>26</v>
      </c>
      <c r="E181">
        <v>159</v>
      </c>
      <c r="F181">
        <v>132</v>
      </c>
      <c r="G181">
        <v>20</v>
      </c>
      <c r="H181">
        <v>466</v>
      </c>
      <c r="I181">
        <f>IF(D181="","",IFERROR(VLOOKUP(D181,Instellingen!$D$5:$E$13,2,FALSE),""))</f>
        <v>30</v>
      </c>
      <c r="J181">
        <f>IF(C181="","",IF(C181="Ja",100,0))</f>
        <v>0</v>
      </c>
      <c r="K181">
        <f>IF(D181="","",SUM(I181*Instellingen!$B$5,J181*Instellingen!$B$6,IFERROR(E181/MAX($E$6:$E$189)*100,0)*Instellingen!$B$7,IFERROR(F181/MAX($F$6:$F$189)*100,0)*Instellingen!$B$8,IFERROR(G181/MAX($G$6:$G$189)*100,0)*Instellingen!$B$9,IFERROR(H181/MAX($H$6:$H$189)*100,0)*Instellingen!$B$10)/SUM(Instellingen!$B$5:$B$10))</f>
        <v>5.7729884725377349</v>
      </c>
      <c r="L181">
        <f>IF(K181="","",ROUND((Instellingen!$B$16+(Instellingen!$B$17-Instellingen!$B$16)*POWER(K181/100,Instellingen!$B$18))/Instellingen!$B$19,0)*Instellingen!$B$19)</f>
        <v>379</v>
      </c>
      <c r="N181">
        <f>IF(L181="","",MAX(Instellingen!$B$16,MIN(Instellingen!$B$17,L181+IF(M181="",0,M181))))</f>
        <v>379</v>
      </c>
      <c r="O181" t="str">
        <f>IF(N181="","",IF(N181&gt;=Instellingen!$B$22,"Absolute top",IF(N181&gt;=Instellingen!$B$23,"Kopman",IF(N181&gt;=Instellingen!$B$24,"Sterke keuze",IF(N181&gt;=Instellingen!$B$25,"Bruikbaar","Gok")))))</f>
        <v>Gok</v>
      </c>
      <c r="P181" t="str">
        <f>IF(A181="","",IF(D181="","Rol invullen","Compleet"))</f>
        <v>Compleet</v>
      </c>
      <c r="Q181" t="s">
        <v>361</v>
      </c>
    </row>
    <row r="182" spans="1:17">
      <c r="A182" t="s">
        <v>294</v>
      </c>
      <c r="B182" t="s">
        <v>38</v>
      </c>
      <c r="C182" t="s">
        <v>21</v>
      </c>
      <c r="D182" t="s">
        <v>26</v>
      </c>
      <c r="E182">
        <v>86</v>
      </c>
      <c r="F182">
        <v>340</v>
      </c>
      <c r="G182">
        <v>4</v>
      </c>
      <c r="H182">
        <v>236</v>
      </c>
      <c r="I182">
        <f>IF(D182="","",IFERROR(VLOOKUP(D182,Instellingen!$D$5:$E$13,2,FALSE),""))</f>
        <v>30</v>
      </c>
      <c r="J182">
        <f>IF(C182="","",IF(C182="Ja",100,0))</f>
        <v>0</v>
      </c>
      <c r="K182">
        <f>IF(D182="","",SUM(I182*Instellingen!$B$5,J182*Instellingen!$B$6,IFERROR(E182/MAX($E$6:$E$189)*100,0)*Instellingen!$B$7,IFERROR(F182/MAX($F$6:$F$189)*100,0)*Instellingen!$B$8,IFERROR(G182/MAX($G$6:$G$189)*100,0)*Instellingen!$B$9,IFERROR(H182/MAX($H$6:$H$189)*100,0)*Instellingen!$B$10)/SUM(Instellingen!$B$5:$B$10))</f>
        <v>5.6389673180574551</v>
      </c>
      <c r="L182">
        <f>IF(K182="","",ROUND((Instellingen!$B$16+(Instellingen!$B$17-Instellingen!$B$16)*POWER(K182/100,Instellingen!$B$18))/Instellingen!$B$19,0)*Instellingen!$B$19)</f>
        <v>376</v>
      </c>
      <c r="N182">
        <f>IF(L182="","",MAX(Instellingen!$B$16,MIN(Instellingen!$B$17,L182+IF(M182="",0,M182))))</f>
        <v>376</v>
      </c>
      <c r="O182" t="str">
        <f>IF(N182="","",IF(N182&gt;=Instellingen!$B$22,"Absolute top",IF(N182&gt;=Instellingen!$B$23,"Kopman",IF(N182&gt;=Instellingen!$B$24,"Sterke keuze",IF(N182&gt;=Instellingen!$B$25,"Bruikbaar","Gok")))))</f>
        <v>Gok</v>
      </c>
      <c r="P182" t="str">
        <f>IF(A182="","",IF(D182="","Rol invullen","Compleet"))</f>
        <v>Compleet</v>
      </c>
      <c r="Q182" t="s">
        <v>295</v>
      </c>
    </row>
    <row r="183" spans="1:17">
      <c r="A183" t="s">
        <v>134</v>
      </c>
      <c r="B183" t="s">
        <v>128</v>
      </c>
      <c r="C183" t="s">
        <v>21</v>
      </c>
      <c r="D183" t="s">
        <v>26</v>
      </c>
      <c r="E183">
        <v>162</v>
      </c>
      <c r="F183">
        <v>64</v>
      </c>
      <c r="G183">
        <v>112</v>
      </c>
      <c r="H183">
        <v>0</v>
      </c>
      <c r="I183">
        <f>IF(D183="","",IFERROR(VLOOKUP(D183,Instellingen!$D$5:$E$13,2,FALSE),""))</f>
        <v>30</v>
      </c>
      <c r="J183">
        <f>IF(C183="","",IF(C183="Ja",100,0))</f>
        <v>0</v>
      </c>
      <c r="K183">
        <f>IF(D183="","",SUM(I183*Instellingen!$B$5,J183*Instellingen!$B$6,IFERROR(E183/MAX($E$6:$E$189)*100,0)*Instellingen!$B$7,IFERROR(F183/MAX($F$6:$F$189)*100,0)*Instellingen!$B$8,IFERROR(G183/MAX($G$6:$G$189)*100,0)*Instellingen!$B$9,IFERROR(H183/MAX($H$6:$H$189)*100,0)*Instellingen!$B$10)/SUM(Instellingen!$B$5:$B$10))</f>
        <v>5.426406129323607</v>
      </c>
      <c r="L183">
        <f>IF(K183="","",ROUND((Instellingen!$B$16+(Instellingen!$B$17-Instellingen!$B$16)*POWER(K183/100,Instellingen!$B$18))/Instellingen!$B$19,0)*Instellingen!$B$19)</f>
        <v>372</v>
      </c>
      <c r="N183">
        <f>IF(L183="","",MAX(Instellingen!$B$16,MIN(Instellingen!$B$17,L183+IF(M183="",0,M183))))</f>
        <v>372</v>
      </c>
      <c r="O183" t="str">
        <f>IF(N183="","",IF(N183&gt;=Instellingen!$B$22,"Absolute top",IF(N183&gt;=Instellingen!$B$23,"Kopman",IF(N183&gt;=Instellingen!$B$24,"Sterke keuze",IF(N183&gt;=Instellingen!$B$25,"Bruikbaar","Gok")))))</f>
        <v>Gok</v>
      </c>
      <c r="P183" t="str">
        <f>IF(A183="","",IF(D183="","Rol invullen","Compleet"))</f>
        <v>Compleet</v>
      </c>
      <c r="Q183" t="s">
        <v>135</v>
      </c>
    </row>
    <row r="184" spans="1:17">
      <c r="A184" t="s">
        <v>290</v>
      </c>
      <c r="B184" t="s">
        <v>20</v>
      </c>
      <c r="C184" t="s">
        <v>21</v>
      </c>
      <c r="D184" t="s">
        <v>26</v>
      </c>
      <c r="E184">
        <v>5</v>
      </c>
      <c r="F184">
        <v>293</v>
      </c>
      <c r="G184">
        <v>15</v>
      </c>
      <c r="H184">
        <v>0</v>
      </c>
      <c r="I184">
        <f>IF(D184="","",IFERROR(VLOOKUP(D184,Instellingen!$D$5:$E$13,2,FALSE),""))</f>
        <v>30</v>
      </c>
      <c r="J184">
        <f>IF(C184="","",IF(C184="Ja",100,0))</f>
        <v>0</v>
      </c>
      <c r="K184">
        <f>IF(D184="","",SUM(I184*Instellingen!$B$5,J184*Instellingen!$B$6,IFERROR(E184/MAX($E$6:$E$189)*100,0)*Instellingen!$B$7,IFERROR(F184/MAX($F$6:$F$189)*100,0)*Instellingen!$B$8,IFERROR(G184/MAX($G$6:$G$189)*100,0)*Instellingen!$B$9,IFERROR(H184/MAX($H$6:$H$189)*100,0)*Instellingen!$B$10)/SUM(Instellingen!$B$5:$B$10))</f>
        <v>5.0563759726135622</v>
      </c>
      <c r="L184">
        <f>IF(K184="","",ROUND((Instellingen!$B$16+(Instellingen!$B$17-Instellingen!$B$16)*POWER(K184/100,Instellingen!$B$18))/Instellingen!$B$19,0)*Instellingen!$B$19)</f>
        <v>366</v>
      </c>
      <c r="N184">
        <f>IF(L184="","",MAX(Instellingen!$B$16,MIN(Instellingen!$B$17,L184+IF(M184="",0,M184))))</f>
        <v>366</v>
      </c>
      <c r="O184" t="str">
        <f>IF(N184="","",IF(N184&gt;=Instellingen!$B$22,"Absolute top",IF(N184&gt;=Instellingen!$B$23,"Kopman",IF(N184&gt;=Instellingen!$B$24,"Sterke keuze",IF(N184&gt;=Instellingen!$B$25,"Bruikbaar","Gok")))))</f>
        <v>Gok</v>
      </c>
      <c r="P184" t="str">
        <f>IF(A184="","",IF(D184="","Rol invullen","Compleet"))</f>
        <v>Compleet</v>
      </c>
      <c r="Q184" t="s">
        <v>291</v>
      </c>
    </row>
    <row r="185" spans="1:17">
      <c r="A185" t="s">
        <v>142</v>
      </c>
      <c r="B185" t="s">
        <v>128</v>
      </c>
      <c r="C185" t="s">
        <v>21</v>
      </c>
      <c r="D185" t="s">
        <v>87</v>
      </c>
      <c r="E185">
        <v>147</v>
      </c>
      <c r="F185">
        <v>76</v>
      </c>
      <c r="G185">
        <v>89</v>
      </c>
      <c r="H185">
        <v>1</v>
      </c>
      <c r="I185">
        <f>IF(D185="","",IFERROR(VLOOKUP(D185,Instellingen!$D$5:$E$13,2,FALSE),""))</f>
        <v>20</v>
      </c>
      <c r="J185">
        <f>IF(C185="","",IF(C185="Ja",100,0))</f>
        <v>0</v>
      </c>
      <c r="K185">
        <f>IF(D185="","",SUM(I185*Instellingen!$B$5,J185*Instellingen!$B$6,IFERROR(E185/MAX($E$6:$E$189)*100,0)*Instellingen!$B$7,IFERROR(F185/MAX($F$6:$F$189)*100,0)*Instellingen!$B$8,IFERROR(G185/MAX($G$6:$G$189)*100,0)*Instellingen!$B$9,IFERROR(H185/MAX($H$6:$H$189)*100,0)*Instellingen!$B$10)/SUM(Instellingen!$B$5:$B$10))</f>
        <v>3.8555334322583179</v>
      </c>
      <c r="L185">
        <f>IF(K185="","",ROUND((Instellingen!$B$16+(Instellingen!$B$17-Instellingen!$B$16)*POWER(K185/100,Instellingen!$B$18))/Instellingen!$B$19,0)*Instellingen!$B$19)</f>
        <v>346</v>
      </c>
      <c r="N185">
        <f>IF(L185="","",MAX(Instellingen!$B$16,MIN(Instellingen!$B$17,L185+IF(M185="",0,M185))))</f>
        <v>346</v>
      </c>
      <c r="O185" t="str">
        <f>IF(N185="","",IF(N185&gt;=Instellingen!$B$22,"Absolute top",IF(N185&gt;=Instellingen!$B$23,"Kopman",IF(N185&gt;=Instellingen!$B$24,"Sterke keuze",IF(N185&gt;=Instellingen!$B$25,"Bruikbaar","Gok")))))</f>
        <v>Gok</v>
      </c>
      <c r="P185" t="str">
        <f>IF(A185="","",IF(D185="","Rol invullen","Compleet"))</f>
        <v>Compleet</v>
      </c>
      <c r="Q185" t="s">
        <v>143</v>
      </c>
    </row>
    <row r="186" spans="1:17">
      <c r="A186" t="s">
        <v>147</v>
      </c>
      <c r="B186" t="s">
        <v>145</v>
      </c>
      <c r="C186" t="s">
        <v>21</v>
      </c>
      <c r="D186" t="s">
        <v>87</v>
      </c>
      <c r="E186">
        <v>93</v>
      </c>
      <c r="F186">
        <v>33</v>
      </c>
      <c r="G186">
        <v>95</v>
      </c>
      <c r="H186">
        <v>8</v>
      </c>
      <c r="I186">
        <f>IF(D186="","",IFERROR(VLOOKUP(D186,Instellingen!$D$5:$E$13,2,FALSE),""))</f>
        <v>20</v>
      </c>
      <c r="J186">
        <f>IF(C186="","",IF(C186="Ja",100,0))</f>
        <v>0</v>
      </c>
      <c r="K186">
        <f>IF(D186="","",SUM(I186*Instellingen!$B$5,J186*Instellingen!$B$6,IFERROR(E186/MAX($E$6:$E$189)*100,0)*Instellingen!$B$7,IFERROR(F186/MAX($F$6:$F$189)*100,0)*Instellingen!$B$8,IFERROR(G186/MAX($G$6:$G$189)*100,0)*Instellingen!$B$9,IFERROR(H186/MAX($H$6:$H$189)*100,0)*Instellingen!$B$10)/SUM(Instellingen!$B$5:$B$10))</f>
        <v>3.5738523750894795</v>
      </c>
      <c r="L186">
        <f>IF(K186="","",ROUND((Instellingen!$B$16+(Instellingen!$B$17-Instellingen!$B$16)*POWER(K186/100,Instellingen!$B$18))/Instellingen!$B$19,0)*Instellingen!$B$19)</f>
        <v>341</v>
      </c>
      <c r="N186">
        <f>IF(L186="","",MAX(Instellingen!$B$16,MIN(Instellingen!$B$17,L186+IF(M186="",0,M186))))</f>
        <v>341</v>
      </c>
      <c r="O186" t="str">
        <f>IF(N186="","",IF(N186&gt;=Instellingen!$B$22,"Absolute top",IF(N186&gt;=Instellingen!$B$23,"Kopman",IF(N186&gt;=Instellingen!$B$24,"Sterke keuze",IF(N186&gt;=Instellingen!$B$25,"Bruikbaar","Gok")))))</f>
        <v>Gok</v>
      </c>
      <c r="P186" t="str">
        <f>IF(A186="","",IF(D186="","Rol invullen","Compleet"))</f>
        <v>Compleet</v>
      </c>
      <c r="Q186" t="s">
        <v>148</v>
      </c>
    </row>
    <row r="187" spans="1:17">
      <c r="A187" t="s">
        <v>253</v>
      </c>
      <c r="B187" t="s">
        <v>247</v>
      </c>
      <c r="C187" t="s">
        <v>21</v>
      </c>
      <c r="D187" t="s">
        <v>87</v>
      </c>
      <c r="E187">
        <v>88</v>
      </c>
      <c r="F187">
        <v>12</v>
      </c>
      <c r="G187">
        <v>44</v>
      </c>
      <c r="H187">
        <v>5</v>
      </c>
      <c r="I187">
        <f>IF(D187="","",IFERROR(VLOOKUP(D187,Instellingen!$D$5:$E$13,2,FALSE),""))</f>
        <v>20</v>
      </c>
      <c r="J187">
        <f>IF(C187="","",IF(C187="Ja",100,0))</f>
        <v>0</v>
      </c>
      <c r="K187">
        <f>IF(D187="","",SUM(I187*Instellingen!$B$5,J187*Instellingen!$B$6,IFERROR(E187/MAX($E$6:$E$189)*100,0)*Instellingen!$B$7,IFERROR(F187/MAX($F$6:$F$189)*100,0)*Instellingen!$B$8,IFERROR(G187/MAX($G$6:$G$189)*100,0)*Instellingen!$B$9,IFERROR(H187/MAX($H$6:$H$189)*100,0)*Instellingen!$B$10)/SUM(Instellingen!$B$5:$B$10))</f>
        <v>3.4439068941064699</v>
      </c>
      <c r="L187">
        <f>IF(K187="","",ROUND((Instellingen!$B$16+(Instellingen!$B$17-Instellingen!$B$16)*POWER(K187/100,Instellingen!$B$18))/Instellingen!$B$19,0)*Instellingen!$B$19)</f>
        <v>339</v>
      </c>
      <c r="N187">
        <f>IF(L187="","",MAX(Instellingen!$B$16,MIN(Instellingen!$B$17,L187+IF(M187="",0,M187))))</f>
        <v>339</v>
      </c>
      <c r="O187" t="str">
        <f>IF(N187="","",IF(N187&gt;=Instellingen!$B$22,"Absolute top",IF(N187&gt;=Instellingen!$B$23,"Kopman",IF(N187&gt;=Instellingen!$B$24,"Sterke keuze",IF(N187&gt;=Instellingen!$B$25,"Bruikbaar","Gok")))))</f>
        <v>Gok</v>
      </c>
      <c r="P187" t="str">
        <f>IF(A187="","",IF(D187="","Rol invullen","Compleet"))</f>
        <v>Compleet</v>
      </c>
      <c r="Q187" t="s">
        <v>254</v>
      </c>
    </row>
    <row r="188" spans="1:17">
      <c r="A188" t="s">
        <v>270</v>
      </c>
      <c r="B188" t="s">
        <v>264</v>
      </c>
      <c r="C188" t="s">
        <v>21</v>
      </c>
      <c r="D188" t="s">
        <v>87</v>
      </c>
      <c r="E188">
        <v>61</v>
      </c>
      <c r="F188">
        <v>53</v>
      </c>
      <c r="G188">
        <v>34</v>
      </c>
      <c r="H188">
        <v>58</v>
      </c>
      <c r="I188">
        <f>IF(D188="","",IFERROR(VLOOKUP(D188,Instellingen!$D$5:$E$13,2,FALSE),""))</f>
        <v>20</v>
      </c>
      <c r="J188">
        <f>IF(C188="","",IF(C188="Ja",100,0))</f>
        <v>0</v>
      </c>
      <c r="K188">
        <f>IF(D188="","",SUM(I188*Instellingen!$B$5,J188*Instellingen!$B$6,IFERROR(E188/MAX($E$6:$E$189)*100,0)*Instellingen!$B$7,IFERROR(F188/MAX($F$6:$F$189)*100,0)*Instellingen!$B$8,IFERROR(G188/MAX($G$6:$G$189)*100,0)*Instellingen!$B$9,IFERROR(H188/MAX($H$6:$H$189)*100,0)*Instellingen!$B$10)/SUM(Instellingen!$B$5:$B$10))</f>
        <v>3.4339540481778088</v>
      </c>
      <c r="L188">
        <f>IF(K188="","",ROUND((Instellingen!$B$16+(Instellingen!$B$17-Instellingen!$B$16)*POWER(K188/100,Instellingen!$B$18))/Instellingen!$B$19,0)*Instellingen!$B$19)</f>
        <v>339</v>
      </c>
      <c r="N188">
        <f>IF(L188="","",MAX(Instellingen!$B$16,MIN(Instellingen!$B$17,L188+IF(M188="",0,M188))))</f>
        <v>339</v>
      </c>
      <c r="O188" t="str">
        <f>IF(N188="","",IF(N188&gt;=Instellingen!$B$22,"Absolute top",IF(N188&gt;=Instellingen!$B$23,"Kopman",IF(N188&gt;=Instellingen!$B$24,"Sterke keuze",IF(N188&gt;=Instellingen!$B$25,"Bruikbaar","Gok")))))</f>
        <v>Gok</v>
      </c>
      <c r="P188" t="str">
        <f>IF(A188="","",IF(D188="","Rol invullen","Compleet"))</f>
        <v>Compleet</v>
      </c>
      <c r="Q188" t="s">
        <v>271</v>
      </c>
    </row>
    <row r="189" spans="1:17">
      <c r="A189" t="s">
        <v>257</v>
      </c>
      <c r="B189" t="s">
        <v>247</v>
      </c>
      <c r="C189" t="s">
        <v>21</v>
      </c>
      <c r="D189" t="s">
        <v>87</v>
      </c>
      <c r="E189">
        <v>32</v>
      </c>
      <c r="F189">
        <v>3</v>
      </c>
      <c r="G189">
        <v>23</v>
      </c>
      <c r="H189">
        <v>0</v>
      </c>
      <c r="I189">
        <f>IF(D189="","",IFERROR(VLOOKUP(D189,Instellingen!$D$5:$E$13,2,FALSE),""))</f>
        <v>20</v>
      </c>
      <c r="J189">
        <f>IF(C189="","",IF(C189="Ja",100,0))</f>
        <v>0</v>
      </c>
      <c r="K189">
        <f>IF(D189="","",SUM(I189*Instellingen!$B$5,J189*Instellingen!$B$6,IFERROR(E189/MAX($E$6:$E$189)*100,0)*Instellingen!$B$7,IFERROR(F189/MAX($F$6:$F$189)*100,0)*Instellingen!$B$8,IFERROR(G189/MAX($G$6:$G$189)*100,0)*Instellingen!$B$9,IFERROR(H189/MAX($H$6:$H$189)*100,0)*Instellingen!$B$10)/SUM(Instellingen!$B$5:$B$10))</f>
        <v>3.167243163533477</v>
      </c>
      <c r="L189">
        <f>IF(K189="","",ROUND((Instellingen!$B$16+(Instellingen!$B$17-Instellingen!$B$16)*POWER(K189/100,Instellingen!$B$18))/Instellingen!$B$19,0)*Instellingen!$B$19)</f>
        <v>335</v>
      </c>
      <c r="N189">
        <f>IF(L189="","",MAX(Instellingen!$B$16,MIN(Instellingen!$B$17,L189+IF(M189="",0,M189))))</f>
        <v>335</v>
      </c>
      <c r="O189" t="str">
        <f>IF(N189="","",IF(N189&gt;=Instellingen!$B$22,"Absolute top",IF(N189&gt;=Instellingen!$B$23,"Kopman",IF(N189&gt;=Instellingen!$B$24,"Sterke keuze",IF(N189&gt;=Instellingen!$B$25,"Bruikbaar","Gok")))))</f>
        <v>Gok</v>
      </c>
      <c r="P189" t="str">
        <f>IF(A189="","",IF(D189="","Rol invullen","Compleet"))</f>
        <v>Compleet</v>
      </c>
      <c r="Q189" t="s">
        <v>258</v>
      </c>
    </row>
  </sheetData>
  <autoFilter ref="A5:Q189" xr:uid="{00000000-0001-0000-0000-000000000000}">
    <sortState xmlns:xlrd2="http://schemas.microsoft.com/office/spreadsheetml/2017/richdata2" ref="A6:Q189">
      <sortCondition descending="1" ref="L5:L18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workbookViewId="0">
      <selection activeCell="B18" sqref="B18"/>
    </sheetView>
  </sheetViews>
  <sheetFormatPr defaultRowHeight="14"/>
  <cols>
    <col min="1" max="1" width="83.6640625" customWidth="1"/>
    <col min="2" max="2" width="15.08203125" customWidth="1"/>
    <col min="4" max="4" width="18.1640625" customWidth="1"/>
    <col min="5" max="5" width="3.4140625" customWidth="1"/>
  </cols>
  <sheetData>
    <row r="1" spans="1:5">
      <c r="A1" s="2" t="s">
        <v>420</v>
      </c>
      <c r="B1" s="2"/>
      <c r="C1" s="2"/>
      <c r="D1" s="2"/>
      <c r="E1" s="2"/>
    </row>
    <row r="2" spans="1:5">
      <c r="A2" t="s">
        <v>421</v>
      </c>
    </row>
    <row r="4" spans="1:5">
      <c r="A4" t="s">
        <v>422</v>
      </c>
      <c r="D4" t="s">
        <v>423</v>
      </c>
    </row>
    <row r="5" spans="1:5">
      <c r="A5" t="s">
        <v>5</v>
      </c>
      <c r="B5">
        <v>15</v>
      </c>
      <c r="D5" t="s">
        <v>22</v>
      </c>
      <c r="E5">
        <v>100</v>
      </c>
    </row>
    <row r="6" spans="1:5">
      <c r="A6" t="s">
        <v>424</v>
      </c>
      <c r="B6">
        <v>10</v>
      </c>
      <c r="D6" t="s">
        <v>70</v>
      </c>
      <c r="E6">
        <v>90</v>
      </c>
    </row>
    <row r="7" spans="1:5">
      <c r="A7" t="s">
        <v>425</v>
      </c>
      <c r="B7">
        <v>35</v>
      </c>
      <c r="D7" t="s">
        <v>426</v>
      </c>
      <c r="E7">
        <v>85</v>
      </c>
    </row>
    <row r="8" spans="1:5">
      <c r="A8" t="s">
        <v>427</v>
      </c>
      <c r="B8">
        <v>20</v>
      </c>
      <c r="D8" t="s">
        <v>82</v>
      </c>
      <c r="E8">
        <v>80</v>
      </c>
    </row>
    <row r="9" spans="1:5">
      <c r="A9" t="s">
        <v>428</v>
      </c>
      <c r="B9">
        <v>15</v>
      </c>
      <c r="D9" t="s">
        <v>35</v>
      </c>
      <c r="E9">
        <v>65</v>
      </c>
    </row>
    <row r="10" spans="1:5">
      <c r="A10" t="s">
        <v>9</v>
      </c>
      <c r="B10">
        <v>5</v>
      </c>
      <c r="D10" t="s">
        <v>30</v>
      </c>
      <c r="E10">
        <v>55</v>
      </c>
    </row>
    <row r="11" spans="1:5">
      <c r="A11" t="s">
        <v>429</v>
      </c>
      <c r="B11">
        <v>100</v>
      </c>
      <c r="D11" t="s">
        <v>65</v>
      </c>
      <c r="E11">
        <v>45</v>
      </c>
    </row>
    <row r="12" spans="1:5">
      <c r="D12" t="s">
        <v>26</v>
      </c>
      <c r="E12">
        <v>30</v>
      </c>
    </row>
    <row r="13" spans="1:5">
      <c r="D13" t="s">
        <v>87</v>
      </c>
      <c r="E13">
        <v>20</v>
      </c>
    </row>
    <row r="15" spans="1:5">
      <c r="A15" t="s">
        <v>430</v>
      </c>
    </row>
    <row r="16" spans="1:5">
      <c r="A16" t="s">
        <v>431</v>
      </c>
      <c r="B16">
        <v>300</v>
      </c>
    </row>
    <row r="17" spans="1:2">
      <c r="A17" t="s">
        <v>432</v>
      </c>
      <c r="B17">
        <v>4000</v>
      </c>
    </row>
    <row r="18" spans="1:2">
      <c r="A18" t="s">
        <v>433</v>
      </c>
      <c r="B18">
        <v>1.35</v>
      </c>
    </row>
    <row r="19" spans="1:2">
      <c r="A19" t="s">
        <v>434</v>
      </c>
      <c r="B19">
        <v>1</v>
      </c>
    </row>
    <row r="21" spans="1:2">
      <c r="A21" t="s">
        <v>435</v>
      </c>
    </row>
    <row r="22" spans="1:2">
      <c r="A22" t="s">
        <v>436</v>
      </c>
      <c r="B22">
        <v>2200</v>
      </c>
    </row>
    <row r="23" spans="1:2">
      <c r="A23" t="s">
        <v>437</v>
      </c>
      <c r="B23">
        <v>1600</v>
      </c>
    </row>
    <row r="24" spans="1:2">
      <c r="A24" t="s">
        <v>438</v>
      </c>
      <c r="B24">
        <v>1100</v>
      </c>
    </row>
    <row r="25" spans="1:2">
      <c r="A25" t="s">
        <v>439</v>
      </c>
      <c r="B25">
        <v>700</v>
      </c>
    </row>
    <row r="26" spans="1:2">
      <c r="A26" t="s">
        <v>440</v>
      </c>
      <c r="B26"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Renners</vt:lpstr>
      <vt:lpstr>Instellingen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Keje Schaakxs</cp:lastModifiedBy>
  <dcterms:modified xsi:type="dcterms:W3CDTF">2026-08-20T19:48:45Z</dcterms:modified>
</cp:coreProperties>
</file>